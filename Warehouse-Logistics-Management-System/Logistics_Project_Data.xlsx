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948987F3-CAAA-425F-9E91-7C16A7E17E9D}" xr6:coauthVersionLast="47" xr6:coauthVersionMax="47" xr10:uidLastSave="{00000000-0000-0000-0000-000000000000}"/>
  <bookViews>
    <workbookView xWindow="-120" yWindow="-120" windowWidth="24240" windowHeight="13020" xr2:uid="{D835B3EC-D217-40B6-A1AF-C2411F54A0C9}"/>
  </bookViews>
  <sheets>
    <sheet name="Logistics_Dashboard" sheetId="8" r:id="rId1"/>
    <sheet name="Analysis" sheetId="7" r:id="rId2"/>
    <sheet name="Cleaned_Data" sheetId="3" r:id="rId3"/>
    <sheet name="Raw_Data" sheetId="1" r:id="rId4"/>
  </sheets>
  <definedNames>
    <definedName name="_xlnm._FilterDatabase" localSheetId="2" hidden="1">Cleaned_Data!$B$1:$B$1001</definedName>
    <definedName name="_xlnm._FilterDatabase" localSheetId="3" hidden="1">Raw_Data!$B$1:$B$1001</definedName>
    <definedName name="Slicer_Shipping_Method">#N/A</definedName>
    <definedName name="Slicer_Supplier_Name">#N/A</definedName>
    <definedName name="Slicer_Supplier_Nam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7" i="3" l="1"/>
  <c r="K1001" i="3"/>
  <c r="K1000" i="3"/>
  <c r="K999" i="3"/>
  <c r="K998" i="3"/>
  <c r="K997" i="3"/>
  <c r="K996" i="3"/>
  <c r="K995" i="3"/>
  <c r="K994" i="3"/>
  <c r="K993" i="3"/>
  <c r="K992" i="3"/>
  <c r="K991" i="3"/>
  <c r="K990" i="3"/>
  <c r="K989" i="3"/>
  <c r="K988" i="3"/>
  <c r="K987" i="3"/>
  <c r="K986" i="3"/>
  <c r="K985" i="3"/>
  <c r="K984" i="3"/>
  <c r="K983" i="3"/>
  <c r="K982" i="3"/>
  <c r="K981" i="3"/>
  <c r="K980" i="3"/>
  <c r="K979" i="3"/>
  <c r="K978" i="3"/>
  <c r="K977" i="3"/>
  <c r="K976" i="3"/>
  <c r="K975" i="3"/>
  <c r="K974" i="3"/>
  <c r="K973" i="3"/>
  <c r="K972" i="3"/>
  <c r="K971" i="3"/>
  <c r="K970" i="3"/>
  <c r="K969" i="3"/>
  <c r="K968" i="3"/>
  <c r="K967" i="3"/>
  <c r="K966" i="3"/>
  <c r="K965" i="3"/>
  <c r="K964" i="3"/>
  <c r="K963" i="3"/>
  <c r="K962" i="3"/>
  <c r="K961" i="3"/>
  <c r="K960" i="3"/>
  <c r="K959" i="3"/>
  <c r="K958" i="3"/>
  <c r="K957" i="3"/>
  <c r="K956" i="3"/>
  <c r="K955" i="3"/>
  <c r="K954" i="3"/>
  <c r="K953" i="3"/>
  <c r="K952" i="3"/>
  <c r="K951" i="3"/>
  <c r="K950" i="3"/>
  <c r="K949" i="3"/>
  <c r="K948" i="3"/>
  <c r="K947" i="3"/>
  <c r="K946" i="3"/>
  <c r="K945" i="3"/>
  <c r="K944" i="3"/>
  <c r="K943" i="3"/>
  <c r="K942" i="3"/>
  <c r="K941" i="3"/>
  <c r="K940" i="3"/>
  <c r="K939" i="3"/>
  <c r="K938" i="3"/>
  <c r="K937" i="3"/>
  <c r="K936" i="3"/>
  <c r="K935" i="3"/>
  <c r="K934" i="3"/>
  <c r="K933" i="3"/>
  <c r="K932" i="3"/>
  <c r="K931" i="3"/>
  <c r="K930" i="3"/>
  <c r="K929" i="3"/>
  <c r="K928" i="3"/>
  <c r="K927" i="3"/>
  <c r="K926" i="3"/>
  <c r="K925" i="3"/>
  <c r="K924" i="3"/>
  <c r="K923" i="3"/>
  <c r="K922" i="3"/>
  <c r="K921" i="3"/>
  <c r="K920" i="3"/>
  <c r="K919" i="3"/>
  <c r="K918" i="3"/>
  <c r="K917" i="3"/>
  <c r="K916" i="3"/>
  <c r="K915" i="3"/>
  <c r="K914" i="3"/>
  <c r="K913" i="3"/>
  <c r="K912" i="3"/>
  <c r="K911" i="3"/>
  <c r="K910" i="3"/>
  <c r="K909" i="3"/>
  <c r="K908" i="3"/>
  <c r="K907" i="3"/>
  <c r="K906" i="3"/>
  <c r="K905" i="3"/>
  <c r="K904" i="3"/>
  <c r="K903" i="3"/>
  <c r="K902" i="3"/>
  <c r="K901" i="3"/>
  <c r="K900" i="3"/>
  <c r="K899" i="3"/>
  <c r="K898" i="3"/>
  <c r="K897" i="3"/>
  <c r="K896" i="3"/>
  <c r="K895" i="3"/>
  <c r="K894" i="3"/>
  <c r="K893" i="3"/>
  <c r="K892" i="3"/>
  <c r="K891" i="3"/>
  <c r="K890" i="3"/>
  <c r="K889" i="3"/>
  <c r="K888" i="3"/>
  <c r="K887" i="3"/>
  <c r="K886" i="3"/>
  <c r="K885" i="3"/>
  <c r="K884" i="3"/>
  <c r="K883" i="3"/>
  <c r="K882" i="3"/>
  <c r="K881" i="3"/>
  <c r="K880" i="3"/>
  <c r="K879" i="3"/>
  <c r="K878" i="3"/>
  <c r="K877" i="3"/>
  <c r="K876" i="3"/>
  <c r="K875" i="3"/>
  <c r="K874" i="3"/>
  <c r="K873" i="3"/>
  <c r="K872" i="3"/>
  <c r="K871" i="3"/>
  <c r="K870" i="3"/>
  <c r="K869" i="3"/>
  <c r="K868" i="3"/>
  <c r="K867" i="3"/>
  <c r="K866" i="3"/>
  <c r="K865" i="3"/>
  <c r="K864" i="3"/>
  <c r="K863" i="3"/>
  <c r="K862" i="3"/>
  <c r="K861" i="3"/>
  <c r="K860" i="3"/>
  <c r="K859" i="3"/>
  <c r="K858" i="3"/>
  <c r="K857" i="3"/>
  <c r="K856" i="3"/>
  <c r="K855" i="3"/>
  <c r="K854" i="3"/>
  <c r="K853" i="3"/>
  <c r="K852" i="3"/>
  <c r="K851" i="3"/>
  <c r="K850" i="3"/>
  <c r="K849" i="3"/>
  <c r="K848" i="3"/>
  <c r="K847" i="3"/>
  <c r="K846" i="3"/>
  <c r="K845" i="3"/>
  <c r="K844" i="3"/>
  <c r="K843" i="3"/>
  <c r="K842" i="3"/>
  <c r="K841" i="3"/>
  <c r="K840" i="3"/>
  <c r="K839" i="3"/>
  <c r="K838" i="3"/>
  <c r="K837" i="3"/>
  <c r="K836" i="3"/>
  <c r="K835" i="3"/>
  <c r="K834" i="3"/>
  <c r="K833" i="3"/>
  <c r="K832" i="3"/>
  <c r="K831" i="3"/>
  <c r="K830" i="3"/>
  <c r="K829" i="3"/>
  <c r="K828" i="3"/>
  <c r="K827" i="3"/>
  <c r="K826" i="3"/>
  <c r="K825" i="3"/>
  <c r="K824" i="3"/>
  <c r="K823" i="3"/>
  <c r="K822" i="3"/>
  <c r="K821" i="3"/>
  <c r="K820" i="3"/>
  <c r="K819" i="3"/>
  <c r="K818" i="3"/>
  <c r="K817" i="3"/>
  <c r="K816" i="3"/>
  <c r="K815" i="3"/>
  <c r="K814" i="3"/>
  <c r="K813" i="3"/>
  <c r="K812" i="3"/>
  <c r="K811" i="3"/>
  <c r="K810" i="3"/>
  <c r="K809" i="3"/>
  <c r="K808" i="3"/>
  <c r="K807" i="3"/>
  <c r="K806" i="3"/>
  <c r="K805" i="3"/>
  <c r="K804" i="3"/>
  <c r="K803" i="3"/>
  <c r="K802" i="3"/>
  <c r="K801" i="3"/>
  <c r="K800" i="3"/>
  <c r="K799" i="3"/>
  <c r="K798" i="3"/>
  <c r="K797" i="3"/>
  <c r="K796" i="3"/>
  <c r="K795" i="3"/>
  <c r="K794" i="3"/>
  <c r="K793" i="3"/>
  <c r="K792" i="3"/>
  <c r="K791" i="3"/>
  <c r="K790" i="3"/>
  <c r="K789" i="3"/>
  <c r="K788" i="3"/>
  <c r="K787" i="3"/>
  <c r="K786" i="3"/>
  <c r="K785" i="3"/>
  <c r="K784" i="3"/>
  <c r="K783" i="3"/>
  <c r="K782" i="3"/>
  <c r="K781" i="3"/>
  <c r="K780" i="3"/>
  <c r="K779" i="3"/>
  <c r="K778" i="3"/>
  <c r="K777" i="3"/>
  <c r="K776" i="3"/>
  <c r="K775" i="3"/>
  <c r="K774" i="3"/>
  <c r="K773" i="3"/>
  <c r="K772" i="3"/>
  <c r="K771" i="3"/>
  <c r="K770" i="3"/>
  <c r="K769" i="3"/>
  <c r="K768" i="3"/>
  <c r="K767" i="3"/>
  <c r="K766" i="3"/>
  <c r="K765" i="3"/>
  <c r="K764" i="3"/>
  <c r="K763" i="3"/>
  <c r="K762" i="3"/>
  <c r="K761" i="3"/>
  <c r="K760" i="3"/>
  <c r="K759" i="3"/>
  <c r="K758" i="3"/>
  <c r="K757" i="3"/>
  <c r="K756" i="3"/>
  <c r="K755" i="3"/>
  <c r="K754" i="3"/>
  <c r="K753" i="3"/>
  <c r="K752" i="3"/>
  <c r="K751" i="3"/>
  <c r="K750" i="3"/>
  <c r="K749" i="3"/>
  <c r="K748" i="3"/>
  <c r="K747" i="3"/>
  <c r="K746" i="3"/>
  <c r="K745" i="3"/>
  <c r="K744" i="3"/>
  <c r="K743" i="3"/>
  <c r="K742" i="3"/>
  <c r="K741" i="3"/>
  <c r="K740" i="3"/>
  <c r="K739" i="3"/>
  <c r="K738" i="3"/>
  <c r="K737" i="3"/>
  <c r="K736" i="3"/>
  <c r="K735" i="3"/>
  <c r="K734" i="3"/>
  <c r="K733" i="3"/>
  <c r="K732" i="3"/>
  <c r="K731" i="3"/>
  <c r="K730" i="3"/>
  <c r="K729" i="3"/>
  <c r="K728" i="3"/>
  <c r="K727" i="3"/>
  <c r="K726" i="3"/>
  <c r="K725" i="3"/>
  <c r="K724" i="3"/>
  <c r="K723" i="3"/>
  <c r="K722" i="3"/>
  <c r="K721" i="3"/>
  <c r="K720" i="3"/>
  <c r="K719" i="3"/>
  <c r="K718" i="3"/>
  <c r="K717" i="3"/>
  <c r="K716" i="3"/>
  <c r="K715" i="3"/>
  <c r="K714" i="3"/>
  <c r="K713" i="3"/>
  <c r="K712" i="3"/>
  <c r="K711" i="3"/>
  <c r="K710" i="3"/>
  <c r="K709" i="3"/>
  <c r="K708" i="3"/>
  <c r="K707" i="3"/>
  <c r="K706" i="3"/>
  <c r="K705" i="3"/>
  <c r="K704" i="3"/>
  <c r="K703" i="3"/>
  <c r="K702" i="3"/>
  <c r="K701" i="3"/>
  <c r="K700" i="3"/>
  <c r="K699" i="3"/>
  <c r="K698" i="3"/>
  <c r="K697" i="3"/>
  <c r="K696" i="3"/>
  <c r="K695" i="3"/>
  <c r="K694" i="3"/>
  <c r="K693" i="3"/>
  <c r="K692" i="3"/>
  <c r="K691" i="3"/>
  <c r="K690" i="3"/>
  <c r="K689" i="3"/>
  <c r="K688" i="3"/>
  <c r="K687" i="3"/>
  <c r="K686" i="3"/>
  <c r="K685" i="3"/>
  <c r="K684" i="3"/>
  <c r="K683" i="3"/>
  <c r="K682" i="3"/>
  <c r="K681" i="3"/>
  <c r="K680" i="3"/>
  <c r="K679" i="3"/>
  <c r="K678" i="3"/>
  <c r="K677" i="3"/>
  <c r="K676" i="3"/>
  <c r="K675" i="3"/>
  <c r="K674" i="3"/>
  <c r="K673" i="3"/>
  <c r="K672" i="3"/>
  <c r="K671" i="3"/>
  <c r="K670" i="3"/>
  <c r="K669" i="3"/>
  <c r="K668" i="3"/>
  <c r="K667" i="3"/>
  <c r="K666" i="3"/>
  <c r="K665" i="3"/>
  <c r="K664" i="3"/>
  <c r="K663" i="3"/>
  <c r="K662" i="3"/>
  <c r="K661" i="3"/>
  <c r="K660" i="3"/>
  <c r="K659" i="3"/>
  <c r="K658" i="3"/>
  <c r="K657" i="3"/>
  <c r="K656" i="3"/>
  <c r="K655" i="3"/>
  <c r="K654" i="3"/>
  <c r="K653" i="3"/>
  <c r="K652" i="3"/>
  <c r="K651" i="3"/>
  <c r="K650" i="3"/>
  <c r="K649" i="3"/>
  <c r="K648" i="3"/>
  <c r="K647" i="3"/>
  <c r="K646" i="3"/>
  <c r="K645" i="3"/>
  <c r="K644" i="3"/>
  <c r="K643" i="3"/>
  <c r="K642" i="3"/>
  <c r="K641" i="3"/>
  <c r="K640" i="3"/>
  <c r="K639" i="3"/>
  <c r="K638" i="3"/>
  <c r="K637" i="3"/>
  <c r="K636" i="3"/>
  <c r="K635" i="3"/>
  <c r="K634" i="3"/>
  <c r="K633" i="3"/>
  <c r="K632" i="3"/>
  <c r="K631" i="3"/>
  <c r="K630" i="3"/>
  <c r="K629" i="3"/>
  <c r="K628" i="3"/>
  <c r="K627" i="3"/>
  <c r="K626" i="3"/>
  <c r="K625" i="3"/>
  <c r="K624" i="3"/>
  <c r="K623" i="3"/>
  <c r="K622" i="3"/>
  <c r="K621" i="3"/>
  <c r="K620" i="3"/>
  <c r="K619" i="3"/>
  <c r="K618" i="3"/>
  <c r="K617" i="3"/>
  <c r="K616" i="3"/>
  <c r="K615" i="3"/>
  <c r="K614" i="3"/>
  <c r="K613" i="3"/>
  <c r="K612" i="3"/>
  <c r="K611" i="3"/>
  <c r="K610" i="3"/>
  <c r="K609" i="3"/>
  <c r="K608" i="3"/>
  <c r="K607" i="3"/>
  <c r="K606" i="3"/>
  <c r="K605" i="3"/>
  <c r="K604" i="3"/>
  <c r="K603" i="3"/>
  <c r="K602" i="3"/>
  <c r="K601" i="3"/>
  <c r="K600" i="3"/>
  <c r="K599" i="3"/>
  <c r="K598" i="3"/>
  <c r="K597" i="3"/>
  <c r="K596" i="3"/>
  <c r="K595" i="3"/>
  <c r="K594" i="3"/>
  <c r="K593" i="3"/>
  <c r="K592" i="3"/>
  <c r="K591" i="3"/>
  <c r="K590" i="3"/>
  <c r="K589" i="3"/>
  <c r="K588" i="3"/>
  <c r="K587" i="3"/>
  <c r="K586" i="3"/>
  <c r="K585" i="3"/>
  <c r="K584" i="3"/>
  <c r="K583" i="3"/>
  <c r="K582" i="3"/>
  <c r="K581" i="3"/>
  <c r="K580" i="3"/>
  <c r="K579" i="3"/>
  <c r="K578" i="3"/>
  <c r="K577" i="3"/>
  <c r="K576" i="3"/>
  <c r="K575" i="3"/>
  <c r="K574" i="3"/>
  <c r="K573" i="3"/>
  <c r="K572" i="3"/>
  <c r="K571" i="3"/>
  <c r="K570" i="3"/>
  <c r="K569" i="3"/>
  <c r="K568" i="3"/>
  <c r="K567" i="3"/>
  <c r="K566" i="3"/>
  <c r="K565" i="3"/>
  <c r="K564" i="3"/>
  <c r="K563" i="3"/>
  <c r="K562" i="3"/>
  <c r="K561" i="3"/>
  <c r="K560" i="3"/>
  <c r="K559" i="3"/>
  <c r="K558" i="3"/>
  <c r="K557" i="3"/>
  <c r="K556" i="3"/>
  <c r="K555" i="3"/>
  <c r="K554" i="3"/>
  <c r="K553" i="3"/>
  <c r="K552" i="3"/>
  <c r="K551" i="3"/>
  <c r="K550" i="3"/>
  <c r="K549" i="3"/>
  <c r="K548" i="3"/>
  <c r="K547" i="3"/>
  <c r="K546" i="3"/>
  <c r="K545" i="3"/>
  <c r="K544" i="3"/>
  <c r="K543" i="3"/>
  <c r="K542" i="3"/>
  <c r="K541" i="3"/>
  <c r="K540" i="3"/>
  <c r="K539" i="3"/>
  <c r="K538" i="3"/>
  <c r="K537" i="3"/>
  <c r="K536" i="3"/>
  <c r="K535" i="3"/>
  <c r="K534" i="3"/>
  <c r="K533" i="3"/>
  <c r="K532" i="3"/>
  <c r="K531" i="3"/>
  <c r="K530" i="3"/>
  <c r="K529" i="3"/>
  <c r="K528" i="3"/>
  <c r="K527" i="3"/>
  <c r="K526" i="3"/>
  <c r="K525" i="3"/>
  <c r="K524" i="3"/>
  <c r="K523" i="3"/>
  <c r="K522" i="3"/>
  <c r="K521" i="3"/>
  <c r="K520" i="3"/>
  <c r="K519" i="3"/>
  <c r="K518" i="3"/>
  <c r="K517" i="3"/>
  <c r="K516" i="3"/>
  <c r="K515" i="3"/>
  <c r="K514" i="3"/>
  <c r="K513" i="3"/>
  <c r="K512" i="3"/>
  <c r="K511" i="3"/>
  <c r="K510" i="3"/>
  <c r="K509" i="3"/>
  <c r="K508" i="3"/>
  <c r="K507" i="3"/>
  <c r="K506" i="3"/>
  <c r="K505" i="3"/>
  <c r="K504" i="3"/>
  <c r="K503" i="3"/>
  <c r="K502" i="3"/>
  <c r="K501" i="3"/>
  <c r="K500" i="3"/>
  <c r="K499" i="3"/>
  <c r="K498" i="3"/>
  <c r="K497" i="3"/>
  <c r="K496" i="3"/>
  <c r="K495" i="3"/>
  <c r="K494" i="3"/>
  <c r="K493" i="3"/>
  <c r="K492" i="3"/>
  <c r="K491" i="3"/>
  <c r="K490" i="3"/>
  <c r="K489" i="3"/>
  <c r="K488" i="3"/>
  <c r="K487" i="3"/>
  <c r="K486" i="3"/>
  <c r="K485" i="3"/>
  <c r="K484" i="3"/>
  <c r="K483" i="3"/>
  <c r="K482" i="3"/>
  <c r="K481" i="3"/>
  <c r="K480" i="3"/>
  <c r="K479" i="3"/>
  <c r="K478" i="3"/>
  <c r="K477" i="3"/>
  <c r="K476" i="3"/>
  <c r="K475" i="3"/>
  <c r="K474" i="3"/>
  <c r="K473" i="3"/>
  <c r="K472" i="3"/>
  <c r="K471" i="3"/>
  <c r="K470" i="3"/>
  <c r="K469" i="3"/>
  <c r="K468" i="3"/>
  <c r="K467" i="3"/>
  <c r="K466" i="3"/>
  <c r="K465" i="3"/>
  <c r="K464" i="3"/>
  <c r="K463" i="3"/>
  <c r="K462" i="3"/>
  <c r="K461" i="3"/>
  <c r="K460" i="3"/>
  <c r="K459" i="3"/>
  <c r="K458" i="3"/>
  <c r="K457" i="3"/>
  <c r="K456" i="3"/>
  <c r="K455" i="3"/>
  <c r="K454" i="3"/>
  <c r="K453" i="3"/>
  <c r="K452" i="3"/>
  <c r="K451" i="3"/>
  <c r="K450" i="3"/>
  <c r="K449" i="3"/>
  <c r="K448" i="3"/>
  <c r="K447" i="3"/>
  <c r="K446" i="3"/>
  <c r="K445" i="3"/>
  <c r="K444" i="3"/>
  <c r="K443" i="3"/>
  <c r="K442" i="3"/>
  <c r="K441" i="3"/>
  <c r="K440" i="3"/>
  <c r="K439" i="3"/>
  <c r="K438" i="3"/>
  <c r="K437" i="3"/>
  <c r="K436" i="3"/>
  <c r="K435" i="3"/>
  <c r="K434" i="3"/>
  <c r="K433" i="3"/>
  <c r="K432" i="3"/>
  <c r="K431" i="3"/>
  <c r="K430" i="3"/>
  <c r="K429" i="3"/>
  <c r="K428" i="3"/>
  <c r="K427" i="3"/>
  <c r="K426" i="3"/>
  <c r="K425" i="3"/>
  <c r="K424" i="3"/>
  <c r="K423" i="3"/>
  <c r="K422" i="3"/>
  <c r="K421" i="3"/>
  <c r="K420" i="3"/>
  <c r="K419" i="3"/>
  <c r="K418" i="3"/>
  <c r="K417" i="3"/>
  <c r="K416" i="3"/>
  <c r="K415" i="3"/>
  <c r="K414" i="3"/>
  <c r="K413" i="3"/>
  <c r="K412" i="3"/>
  <c r="K411" i="3"/>
  <c r="K410" i="3"/>
  <c r="K409" i="3"/>
  <c r="K408" i="3"/>
  <c r="K407" i="3"/>
  <c r="K406" i="3"/>
  <c r="K405" i="3"/>
  <c r="K404" i="3"/>
  <c r="K403" i="3"/>
  <c r="K402" i="3"/>
  <c r="K401" i="3"/>
  <c r="K400" i="3"/>
  <c r="K399" i="3"/>
  <c r="K398" i="3"/>
  <c r="K397" i="3"/>
  <c r="K396" i="3"/>
  <c r="K395" i="3"/>
  <c r="K394" i="3"/>
  <c r="K393" i="3"/>
  <c r="K392" i="3"/>
  <c r="K391" i="3"/>
  <c r="K390" i="3"/>
  <c r="K389" i="3"/>
  <c r="K388" i="3"/>
  <c r="K387" i="3"/>
  <c r="K386" i="3"/>
  <c r="K385" i="3"/>
  <c r="K384" i="3"/>
  <c r="K383" i="3"/>
  <c r="K382" i="3"/>
  <c r="K381" i="3"/>
  <c r="K380" i="3"/>
  <c r="K379" i="3"/>
  <c r="K378" i="3"/>
  <c r="K377" i="3"/>
  <c r="K376" i="3"/>
  <c r="K375" i="3"/>
  <c r="K374" i="3"/>
  <c r="K373" i="3"/>
  <c r="K372" i="3"/>
  <c r="K371" i="3"/>
  <c r="K370" i="3"/>
  <c r="K369" i="3"/>
  <c r="K368" i="3"/>
  <c r="K367" i="3"/>
  <c r="K366" i="3"/>
  <c r="K365" i="3"/>
  <c r="K364" i="3"/>
  <c r="K363" i="3"/>
  <c r="K362" i="3"/>
  <c r="K361" i="3"/>
  <c r="K360" i="3"/>
  <c r="K359" i="3"/>
  <c r="K358" i="3"/>
  <c r="K357" i="3"/>
  <c r="K356" i="3"/>
  <c r="K355" i="3"/>
  <c r="K354" i="3"/>
  <c r="K353" i="3"/>
  <c r="K352" i="3"/>
  <c r="K351" i="3"/>
  <c r="K350" i="3"/>
  <c r="K349" i="3"/>
  <c r="K348" i="3"/>
  <c r="K347" i="3"/>
  <c r="K346" i="3"/>
  <c r="K345" i="3"/>
  <c r="K344" i="3"/>
  <c r="K343" i="3"/>
  <c r="K342" i="3"/>
  <c r="K341" i="3"/>
  <c r="K340" i="3"/>
  <c r="K339" i="3"/>
  <c r="K338" i="3"/>
  <c r="K337" i="3"/>
  <c r="K336" i="3"/>
  <c r="K335" i="3"/>
  <c r="K334" i="3"/>
  <c r="K333" i="3"/>
  <c r="K332" i="3"/>
  <c r="K331" i="3"/>
  <c r="K330" i="3"/>
  <c r="K329" i="3"/>
  <c r="K328" i="3"/>
  <c r="K327" i="3"/>
  <c r="K326" i="3"/>
  <c r="K325" i="3"/>
  <c r="K324" i="3"/>
  <c r="K323" i="3"/>
  <c r="K322" i="3"/>
  <c r="K321" i="3"/>
  <c r="K320" i="3"/>
  <c r="K319" i="3"/>
  <c r="K318" i="3"/>
  <c r="K317" i="3"/>
  <c r="K316" i="3"/>
  <c r="K315" i="3"/>
  <c r="K314" i="3"/>
  <c r="K313" i="3"/>
  <c r="K312" i="3"/>
  <c r="K311" i="3"/>
  <c r="K310" i="3"/>
  <c r="K309" i="3"/>
  <c r="K308" i="3"/>
  <c r="K307" i="3"/>
  <c r="K306" i="3"/>
  <c r="K305" i="3"/>
  <c r="K304" i="3"/>
  <c r="K303" i="3"/>
  <c r="K302" i="3"/>
  <c r="K301" i="3"/>
  <c r="K300" i="3"/>
  <c r="K299" i="3"/>
  <c r="K298" i="3"/>
  <c r="K297" i="3"/>
  <c r="K296" i="3"/>
  <c r="K295" i="3"/>
  <c r="K294" i="3"/>
  <c r="K293" i="3"/>
  <c r="K292" i="3"/>
  <c r="K291" i="3"/>
  <c r="K290" i="3"/>
  <c r="K289" i="3"/>
  <c r="K288" i="3"/>
  <c r="K287" i="3"/>
  <c r="K286" i="3"/>
  <c r="K285" i="3"/>
  <c r="K284" i="3"/>
  <c r="K283" i="3"/>
  <c r="K282" i="3"/>
  <c r="K281" i="3"/>
  <c r="K280" i="3"/>
  <c r="K279" i="3"/>
  <c r="K278" i="3"/>
  <c r="K277" i="3"/>
  <c r="K276" i="3"/>
  <c r="K275" i="3"/>
  <c r="K274" i="3"/>
  <c r="K273" i="3"/>
  <c r="K272" i="3"/>
  <c r="K271" i="3"/>
  <c r="K270" i="3"/>
  <c r="K269" i="3"/>
  <c r="K268" i="3"/>
  <c r="K267" i="3"/>
  <c r="K266" i="3"/>
  <c r="K265" i="3"/>
  <c r="K264" i="3"/>
  <c r="K263" i="3"/>
  <c r="K262" i="3"/>
  <c r="K261" i="3"/>
  <c r="K260" i="3"/>
  <c r="K259" i="3"/>
  <c r="K258" i="3"/>
  <c r="K257" i="3"/>
  <c r="K256" i="3"/>
  <c r="K255" i="3"/>
  <c r="K254" i="3"/>
  <c r="K253" i="3"/>
  <c r="K252" i="3"/>
  <c r="K251" i="3"/>
  <c r="K250" i="3"/>
  <c r="K249" i="3"/>
  <c r="K248" i="3"/>
  <c r="K247" i="3"/>
  <c r="K246" i="3"/>
  <c r="K245" i="3"/>
  <c r="K244" i="3"/>
  <c r="K243" i="3"/>
  <c r="K242" i="3"/>
  <c r="K241" i="3"/>
  <c r="K240" i="3"/>
  <c r="K239" i="3"/>
  <c r="K238" i="3"/>
  <c r="K237" i="3"/>
  <c r="K236" i="3"/>
  <c r="K235" i="3"/>
  <c r="K234" i="3"/>
  <c r="K233" i="3"/>
  <c r="K232" i="3"/>
  <c r="K231" i="3"/>
  <c r="K230" i="3"/>
  <c r="K229" i="3"/>
  <c r="K228" i="3"/>
  <c r="K227" i="3"/>
  <c r="K226" i="3"/>
  <c r="K225" i="3"/>
  <c r="K224" i="3"/>
  <c r="K223" i="3"/>
  <c r="K222" i="3"/>
  <c r="K221" i="3"/>
  <c r="K220" i="3"/>
  <c r="K219" i="3"/>
  <c r="K218" i="3"/>
  <c r="K217" i="3"/>
  <c r="K216" i="3"/>
  <c r="K215" i="3"/>
  <c r="K214" i="3"/>
  <c r="K213" i="3"/>
  <c r="K212" i="3"/>
  <c r="K211" i="3"/>
  <c r="K210" i="3"/>
  <c r="K209" i="3"/>
  <c r="K208" i="3"/>
  <c r="K207" i="3"/>
  <c r="K206" i="3"/>
  <c r="K205" i="3"/>
  <c r="K204" i="3"/>
  <c r="K203" i="3"/>
  <c r="K202" i="3"/>
  <c r="K201" i="3"/>
  <c r="K200" i="3"/>
  <c r="K199" i="3"/>
  <c r="K198" i="3"/>
  <c r="K197" i="3"/>
  <c r="K196" i="3"/>
  <c r="K195" i="3"/>
  <c r="K194" i="3"/>
  <c r="K193" i="3"/>
  <c r="K192" i="3"/>
  <c r="K191" i="3"/>
  <c r="K190" i="3"/>
  <c r="K189" i="3"/>
  <c r="K188" i="3"/>
  <c r="K187" i="3"/>
  <c r="K186" i="3"/>
  <c r="K185" i="3"/>
  <c r="K184" i="3"/>
  <c r="K183" i="3"/>
  <c r="K182" i="3"/>
  <c r="K181" i="3"/>
  <c r="K180" i="3"/>
  <c r="K179" i="3"/>
  <c r="K178" i="3"/>
  <c r="K177" i="3"/>
  <c r="K176" i="3"/>
  <c r="K175" i="3"/>
  <c r="K174" i="3"/>
  <c r="K173" i="3"/>
  <c r="K172" i="3"/>
  <c r="K171" i="3"/>
  <c r="K170" i="3"/>
  <c r="K169" i="3"/>
  <c r="K168" i="3"/>
  <c r="K167" i="3"/>
  <c r="K166" i="3"/>
  <c r="K165" i="3"/>
  <c r="K164" i="3"/>
  <c r="K163" i="3"/>
  <c r="K162" i="3"/>
  <c r="K161" i="3"/>
  <c r="K160" i="3"/>
  <c r="K159" i="3"/>
  <c r="K158" i="3"/>
  <c r="K157" i="3"/>
  <c r="K156" i="3"/>
  <c r="K155" i="3"/>
  <c r="K154" i="3"/>
  <c r="K153" i="3"/>
  <c r="K152" i="3"/>
  <c r="K151" i="3"/>
  <c r="K150" i="3"/>
  <c r="K149" i="3"/>
  <c r="K148" i="3"/>
  <c r="K147" i="3"/>
  <c r="K146" i="3"/>
  <c r="K145" i="3"/>
  <c r="K144" i="3"/>
  <c r="K143" i="3"/>
  <c r="K142"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6" i="3"/>
  <c r="K5" i="3"/>
  <c r="K4" i="3"/>
  <c r="K3" i="3"/>
  <c r="K2" i="3"/>
</calcChain>
</file>

<file path=xl/sharedStrings.xml><?xml version="1.0" encoding="utf-8"?>
<sst xmlns="http://schemas.openxmlformats.org/spreadsheetml/2006/main" count="11422" uniqueCount="1041">
  <si>
    <t>Order ID</t>
  </si>
  <si>
    <t>Order Data</t>
  </si>
  <si>
    <t>Supplier Name</t>
  </si>
  <si>
    <t>Product Category</t>
  </si>
  <si>
    <t>Quantity</t>
  </si>
  <si>
    <t>Unit Cost</t>
  </si>
  <si>
    <t>Total Cost</t>
  </si>
  <si>
    <t>Shipping Method</t>
  </si>
  <si>
    <t>Shipping Status</t>
  </si>
  <si>
    <t>Delivery Date</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</si>
  <si>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</si>
  <si>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</si>
  <si>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</si>
  <si>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</si>
  <si>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</si>
  <si>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</si>
  <si>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</si>
  <si>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</si>
  <si>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</si>
  <si>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</si>
  <si>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</si>
  <si>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</si>
  <si>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</si>
  <si>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</si>
  <si>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</si>
  <si>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</si>
  <si>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</si>
  <si>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</si>
  <si>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</si>
  <si>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</si>
  <si>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</si>
  <si>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</si>
  <si>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</si>
  <si>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</si>
  <si>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</si>
  <si>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</si>
  <si>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</si>
  <si>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</si>
  <si>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</si>
  <si>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</si>
  <si>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</si>
  <si>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</si>
  <si>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</si>
  <si>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</si>
  <si>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</si>
  <si>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</si>
  <si>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</si>
  <si>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</si>
  <si>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</si>
  <si>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</si>
  <si>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</si>
  <si>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</si>
  <si>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</si>
  <si>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</si>
  <si>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</si>
  <si>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</si>
  <si>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</si>
  <si>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</si>
  <si>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</si>
  <si>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</si>
  <si>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</si>
  <si>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</si>
  <si>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</si>
  <si>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</si>
  <si>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</si>
  <si>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</si>
  <si>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</si>
  <si>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</si>
  <si>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</si>
  <si>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</si>
  <si>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</si>
  <si>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</si>
  <si>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</si>
  <si>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</si>
  <si>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</si>
  <si>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</si>
  <si>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</si>
  <si>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</si>
  <si>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</si>
  <si>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</si>
  <si>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</si>
  <si>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</si>
  <si>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</si>
  <si>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</si>
  <si>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</si>
  <si>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</si>
  <si>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</si>
  <si>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</si>
  <si>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</si>
  <si>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</si>
  <si>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</si>
  <si>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</si>
  <si>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</si>
  <si>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</si>
  <si>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</si>
  <si>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</si>
  <si>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</si>
  <si>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</si>
  <si>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</si>
  <si>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</si>
  <si>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</si>
  <si>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</si>
  <si>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</si>
  <si>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</si>
  <si>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</si>
  <si>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</si>
  <si>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</si>
  <si>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</si>
  <si>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</si>
  <si>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</si>
  <si>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</si>
  <si>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</si>
  <si>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</si>
  <si>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</si>
  <si>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</si>
  <si>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</si>
  <si>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</si>
  <si>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</si>
  <si>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</si>
  <si>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</si>
  <si>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</si>
  <si>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</si>
  <si>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</si>
  <si>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</si>
  <si>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</si>
  <si>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</si>
  <si>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</si>
  <si>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</si>
  <si>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</si>
  <si>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</si>
  <si>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</si>
  <si>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</si>
  <si>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</si>
  <si>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</si>
  <si>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</si>
  <si>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</si>
  <si>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</si>
  <si>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</si>
  <si>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</si>
  <si>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</si>
  <si>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</si>
  <si>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</si>
  <si>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</si>
  <si>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</si>
  <si>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</si>
  <si>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</si>
  <si>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</si>
  <si>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</si>
  <si>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</si>
  <si>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</si>
  <si>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</si>
  <si>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</si>
  <si>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</si>
  <si>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</si>
  <si>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</si>
  <si>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</si>
  <si>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</si>
  <si>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</si>
  <si>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</si>
  <si>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</si>
  <si>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</si>
  <si>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</si>
  <si>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</si>
  <si>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</si>
  <si>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</si>
  <si>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</si>
  <si>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</si>
  <si>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</si>
  <si>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</si>
  <si>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</si>
  <si>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</si>
  <si>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</si>
  <si>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</si>
  <si>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</si>
  <si>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</si>
  <si>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</si>
  <si>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</si>
  <si>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</si>
  <si>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</si>
  <si>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</si>
  <si>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</si>
  <si>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</si>
  <si>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</si>
  <si>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</si>
  <si>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</si>
  <si>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</si>
  <si>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</si>
  <si>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</si>
  <si>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</si>
  <si>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</si>
  <si>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</si>
  <si>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</si>
  <si>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</si>
  <si>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</si>
  <si>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</si>
  <si>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</si>
  <si>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</si>
  <si>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</si>
  <si>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</si>
  <si>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</si>
  <si>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</si>
  <si>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</si>
  <si>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</si>
  <si>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</si>
  <si>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</si>
  <si>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</si>
  <si>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</si>
  <si>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</si>
  <si>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</si>
  <si>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</si>
  <si>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</si>
  <si>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</si>
  <si>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</si>
  <si>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</si>
  <si>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</si>
  <si>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</si>
  <si>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</si>
  <si>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</si>
  <si>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</si>
  <si>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</si>
  <si>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</si>
  <si>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</si>
  <si>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</si>
  <si>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</si>
  <si>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</si>
  <si>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</si>
  <si>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</si>
  <si>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</si>
  <si>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</si>
  <si>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</si>
  <si>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</si>
  <si>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</si>
  <si>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</si>
  <si>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</si>
  <si>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</si>
  <si>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</si>
  <si>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</si>
  <si>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</si>
  <si>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</si>
  <si>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</si>
  <si>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</si>
  <si>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</si>
  <si>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</si>
  <si>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</si>
  <si>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</si>
  <si>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</si>
  <si>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</si>
  <si>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</si>
  <si>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</si>
  <si>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</si>
  <si>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</si>
  <si>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</si>
  <si>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</si>
  <si>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</si>
  <si>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</si>
  <si>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</si>
  <si>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</si>
  <si>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</si>
  <si>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</si>
  <si>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</si>
  <si>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</si>
  <si>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</si>
  <si>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</si>
  <si>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</si>
  <si>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</si>
  <si>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</si>
  <si>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</si>
  <si>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</si>
  <si>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</si>
  <si>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</si>
  <si>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</si>
  <si>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</si>
  <si>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</si>
  <si>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</si>
  <si>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</si>
  <si>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</si>
  <si>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</si>
  <si>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</si>
  <si>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</si>
  <si>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</si>
  <si>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</si>
  <si>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</si>
  <si>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</si>
  <si>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</si>
  <si>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</si>
  <si>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</si>
  <si>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</si>
  <si>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</si>
  <si>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</si>
  <si>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</si>
  <si>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</si>
  <si>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</si>
  <si>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</si>
  <si>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</si>
  <si>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</si>
  <si>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</si>
  <si>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</si>
  <si>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</si>
  <si>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</si>
  <si>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</si>
  <si>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</si>
  <si>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</si>
  <si>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</si>
  <si>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</si>
  <si>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</si>
  <si>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</si>
  <si>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</si>
  <si>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</si>
  <si>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</si>
  <si>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</si>
  <si>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</si>
  <si>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</si>
  <si>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</si>
  <si>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</si>
  <si>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</si>
  <si>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</si>
  <si>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</si>
  <si>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</si>
  <si>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</si>
  <si>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</si>
  <si>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</si>
  <si>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</si>
  <si>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</si>
  <si>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</si>
  <si>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</si>
  <si>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</si>
  <si>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</si>
  <si>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</si>
  <si>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</si>
  <si>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</si>
  <si>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</si>
  <si>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</si>
  <si>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</si>
  <si>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</si>
  <si>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</si>
  <si>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</si>
  <si>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</si>
  <si>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</si>
  <si>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</si>
  <si>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</si>
  <si>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</si>
  <si>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</si>
  <si>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</si>
  <si>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</si>
  <si>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</si>
  <si>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</si>
  <si>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</si>
  <si>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</si>
  <si>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</si>
  <si>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</si>
  <si>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</si>
  <si>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</si>
  <si>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</si>
  <si>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</si>
  <si>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</si>
  <si>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</si>
  <si>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</si>
  <si>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</si>
  <si>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</si>
  <si>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</si>
  <si>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</si>
  <si>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</si>
  <si>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</si>
  <si>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</si>
  <si>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</si>
  <si>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</si>
  <si>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</si>
  <si>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</si>
  <si>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</si>
  <si>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</si>
  <si>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</si>
  <si>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</si>
  <si>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</si>
  <si>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</si>
  <si>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</si>
  <si>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</si>
  <si>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</si>
  <si>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</si>
  <si>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</si>
  <si>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</si>
  <si>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</si>
  <si>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</si>
  <si>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</si>
  <si>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</si>
  <si>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</si>
  <si>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</si>
  <si>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</si>
  <si>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</si>
  <si>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</si>
  <si>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</si>
  <si>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</si>
  <si>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</si>
  <si>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</si>
  <si>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</si>
  <si>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</si>
  <si>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</si>
  <si>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</si>
  <si>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</si>
  <si>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</si>
  <si>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</si>
  <si>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</si>
  <si>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</si>
  <si>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</si>
  <si>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</si>
  <si>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</si>
  <si>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</si>
  <si>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</si>
  <si>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</si>
  <si>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</si>
  <si>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</si>
  <si>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</si>
  <si>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</si>
  <si>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</si>
  <si>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</si>
  <si>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</si>
  <si>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</si>
  <si>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</si>
  <si>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</si>
  <si>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</si>
  <si>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</si>
  <si>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</si>
  <si>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</si>
  <si>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</si>
  <si>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</si>
  <si>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</si>
  <si>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</si>
  <si>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</si>
  <si>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</si>
  <si>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</si>
  <si>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</si>
  <si>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</si>
  <si>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</si>
  <si>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</si>
  <si>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</si>
  <si>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</si>
  <si>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</si>
  <si>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</si>
  <si>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</si>
  <si>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</si>
  <si>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</si>
  <si>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</si>
  <si>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</si>
  <si>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</si>
  <si>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</si>
  <si>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</si>
  <si>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</si>
  <si>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</si>
  <si>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</si>
  <si>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</si>
  <si>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</si>
  <si>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</si>
  <si>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</si>
  <si>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</si>
  <si>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</si>
  <si>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</si>
  <si>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</si>
  <si>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</si>
  <si>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</si>
  <si>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</si>
  <si>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</si>
  <si>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</si>
  <si>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</si>
  <si>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</si>
  <si>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</si>
  <si>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</si>
  <si>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</si>
  <si>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</si>
  <si>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</si>
  <si>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</si>
  <si>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</si>
  <si>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</si>
  <si>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</si>
  <si>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</si>
  <si>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</si>
  <si>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</si>
  <si>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</si>
  <si>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</si>
  <si>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</si>
  <si>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</si>
  <si>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</si>
  <si>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</si>
  <si>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</si>
  <si>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</si>
  <si>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</si>
  <si>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</si>
  <si>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</si>
  <si>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</si>
  <si>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</si>
  <si>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</si>
  <si>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</si>
  <si>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</si>
  <si>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</si>
  <si>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</si>
  <si>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</si>
  <si>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</si>
  <si>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</si>
  <si>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</si>
  <si>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</si>
  <si>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</si>
  <si>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</si>
  <si>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</si>
  <si>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</si>
  <si>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</si>
  <si>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</si>
  <si>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</si>
  <si>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</si>
  <si>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</si>
  <si>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</si>
  <si>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</si>
  <si>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</si>
  <si>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</si>
  <si>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</si>
  <si>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</si>
  <si>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</si>
  <si>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</si>
  <si>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</si>
  <si>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</si>
  <si>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</si>
  <si>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</si>
  <si>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</si>
  <si>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</si>
  <si>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</si>
  <si>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</si>
  <si>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</si>
  <si>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</si>
  <si>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</si>
  <si>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</si>
  <si>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</si>
  <si>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</si>
  <si>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</si>
  <si>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</si>
  <si>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</si>
  <si>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</si>
  <si>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</si>
  <si>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</si>
  <si>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</si>
  <si>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</si>
  <si>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</si>
  <si>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</si>
  <si>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</si>
  <si>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</si>
  <si>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</si>
  <si>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</si>
  <si>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</si>
  <si>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</si>
  <si>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</si>
  <si>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</si>
  <si>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</si>
  <si>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</si>
  <si>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</si>
  <si>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</si>
  <si>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</si>
  <si>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</si>
  <si>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</si>
  <si>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</si>
  <si>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</si>
  <si>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</si>
  <si>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</si>
  <si>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</si>
  <si>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</si>
  <si>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</si>
  <si>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</si>
  <si>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</si>
  <si>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</si>
  <si>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</si>
  <si>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</si>
  <si>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</si>
  <si>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</si>
  <si>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</si>
  <si>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</si>
  <si>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</si>
  <si>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</si>
  <si>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</si>
  <si>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</si>
  <si>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</si>
  <si>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</si>
  <si>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</si>
  <si>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</si>
  <si>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</si>
  <si>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</si>
  <si>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</si>
  <si>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</si>
  <si>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</si>
  <si>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</si>
  <si>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</si>
  <si>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</si>
  <si>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</si>
  <si>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</si>
  <si>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</si>
  <si>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</si>
  <si>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</si>
  <si>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</si>
  <si>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</si>
  <si>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</si>
  <si>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</si>
  <si>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</si>
  <si>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</si>
  <si>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</si>
  <si>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</si>
  <si>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</si>
  <si>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</si>
  <si>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</si>
  <si>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</si>
  <si>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</si>
  <si>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</si>
  <si>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</si>
  <si>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</si>
  <si>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</si>
  <si>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</si>
  <si>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</si>
  <si>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</si>
  <si>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</si>
  <si>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</si>
  <si>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</si>
  <si>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</si>
  <si>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</si>
  <si>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</si>
  <si>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</si>
  <si>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</si>
  <si>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</si>
  <si>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</si>
  <si>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</si>
  <si>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</si>
  <si>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</si>
  <si>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</si>
  <si>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</si>
  <si>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</si>
  <si>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</si>
  <si>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</si>
  <si>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</si>
  <si>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</si>
  <si>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</si>
  <si>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</si>
  <si>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</si>
  <si>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</si>
  <si>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</si>
  <si>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</si>
  <si>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</si>
  <si>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</si>
  <si>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</si>
  <si>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</si>
  <si>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</si>
  <si>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</si>
  <si>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</si>
  <si>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</si>
  <si>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</si>
  <si>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</si>
  <si>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</si>
  <si>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</si>
  <si>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</si>
  <si>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</si>
  <si>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</si>
  <si>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</si>
  <si>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</si>
  <si>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</si>
  <si>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</si>
  <si>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</si>
  <si>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</si>
  <si>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</si>
  <si>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</si>
  <si>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</si>
  <si>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</si>
  <si>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</si>
  <si>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</si>
  <si>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</si>
  <si>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</si>
  <si>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</si>
  <si>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</si>
  <si>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</si>
  <si>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</si>
  <si>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</si>
  <si>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</si>
  <si>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</si>
  <si>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</si>
  <si>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</si>
  <si>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</si>
  <si>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</si>
  <si>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</si>
  <si>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</si>
  <si>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</si>
  <si>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</si>
  <si>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</si>
  <si>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</si>
  <si>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</si>
  <si>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</si>
  <si>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</si>
  <si>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</si>
  <si>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</si>
  <si>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</si>
  <si>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</si>
  <si>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</si>
  <si>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</si>
  <si>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</si>
  <si>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</si>
  <si>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</si>
  <si>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</si>
  <si>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</si>
  <si>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</si>
  <si>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</si>
  <si>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</si>
  <si>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</si>
  <si>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</si>
  <si>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</si>
  <si>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</si>
  <si>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</si>
  <si>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</si>
  <si>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</si>
  <si>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</si>
  <si>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</si>
  <si>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</si>
  <si>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</si>
  <si>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</si>
  <si>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</si>
  <si>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</si>
  <si>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</si>
  <si>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</si>
  <si>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</si>
  <si>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</si>
  <si>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</si>
  <si>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</si>
  <si>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</si>
  <si>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</si>
  <si>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</si>
  <si>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</si>
  <si>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</si>
  <si>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</si>
  <si>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</si>
  <si>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</si>
  <si>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</si>
  <si>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</si>
  <si>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</si>
  <si>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</si>
  <si>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</si>
  <si>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</si>
  <si>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</si>
  <si>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</si>
  <si>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</si>
  <si>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</si>
  <si>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</si>
  <si>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</si>
  <si>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</si>
  <si>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</si>
  <si>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</si>
  <si>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</si>
  <si>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</si>
  <si>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</si>
  <si>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</si>
  <si>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</si>
  <si>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</si>
  <si>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</si>
  <si>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</si>
  <si>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</si>
  <si>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</si>
  <si>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</si>
  <si>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</si>
  <si>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</si>
  <si>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</si>
  <si>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</si>
  <si>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</si>
  <si>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</si>
  <si>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</si>
  <si>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</si>
  <si>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</si>
  <si>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</si>
  <si>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</si>
  <si>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</si>
  <si>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</si>
  <si>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</si>
  <si>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</si>
  <si>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</si>
  <si>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</si>
  <si>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</si>
  <si>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</si>
  <si>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</si>
  <si>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</si>
  <si>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</si>
  <si>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</si>
  <si>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</si>
  <si>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</si>
  <si>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</si>
  <si>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</si>
  <si>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</si>
  <si>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</si>
  <si>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</si>
  <si>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</si>
  <si>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</si>
  <si>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</si>
  <si>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</si>
  <si>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</si>
  <si>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</si>
  <si>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</si>
  <si>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</si>
  <si>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</si>
  <si>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</si>
  <si>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</si>
  <si>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</si>
  <si>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</si>
  <si>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</si>
  <si>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</si>
  <si>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</si>
  <si>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</si>
  <si>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</si>
  <si>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</si>
  <si>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</si>
  <si>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</si>
  <si>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</si>
  <si>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</si>
  <si>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</si>
  <si>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</si>
  <si>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</si>
  <si>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</si>
  <si>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</si>
  <si>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</si>
  <si>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</si>
  <si>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</si>
  <si>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</si>
  <si>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</si>
  <si>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</si>
  <si>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</si>
  <si>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</si>
  <si>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</si>
  <si>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</si>
  <si>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</si>
  <si>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</si>
  <si>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</si>
  <si>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</si>
  <si>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</si>
  <si>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</si>
  <si>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</si>
  <si>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</si>
  <si>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</si>
  <si>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</si>
  <si>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</si>
  <si>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</si>
  <si>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</si>
  <si>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</si>
  <si>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</si>
  <si>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</si>
  <si>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</si>
  <si>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</si>
  <si>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</si>
  <si>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</si>
  <si>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</si>
  <si>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</si>
  <si>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</si>
  <si>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</si>
  <si>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</si>
  <si>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</si>
  <si>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</si>
  <si>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</si>
  <si>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</si>
  <si>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</si>
  <si>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</si>
  <si>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</si>
  <si>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</si>
  <si>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</si>
  <si>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</si>
  <si>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</si>
  <si>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</si>
  <si>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</si>
  <si>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</si>
  <si>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</si>
  <si>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</si>
  <si>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</si>
  <si>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</si>
  <si>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</si>
  <si>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</si>
  <si>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</si>
  <si>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</si>
  <si>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</si>
  <si>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</si>
  <si>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</si>
  <si>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</si>
  <si>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</si>
  <si>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</si>
  <si>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</si>
  <si>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</si>
  <si>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</si>
  <si>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</si>
  <si>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</si>
  <si>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</si>
  <si>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</si>
  <si>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</si>
  <si>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</si>
  <si>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</si>
  <si>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</si>
  <si>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</si>
  <si>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</si>
  <si>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</si>
  <si>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</si>
  <si>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</si>
  <si>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</si>
  <si>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</si>
  <si>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</si>
  <si>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</si>
  <si>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</si>
  <si>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</si>
  <si>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</si>
  <si>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</si>
  <si>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</si>
  <si>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</si>
  <si>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</si>
  <si>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</si>
  <si>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</si>
  <si>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</si>
  <si>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</si>
  <si>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</si>
  <si>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</si>
  <si>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</si>
  <si>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</si>
  <si>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</si>
  <si>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</si>
  <si>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</si>
  <si>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</si>
  <si>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</si>
  <si>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</si>
  <si>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</si>
  <si>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</si>
  <si>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</si>
  <si>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</si>
  <si>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</si>
  <si>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</si>
  <si>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</si>
  <si>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</si>
  <si>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</si>
  <si>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</si>
  <si>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</si>
  <si>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</si>
  <si>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</si>
  <si>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</si>
  <si>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</si>
  <si>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</si>
  <si>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</si>
  <si>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</si>
  <si>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</si>
  <si>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</si>
  <si>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</si>
  <si>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</si>
  <si>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</si>
  <si>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</si>
  <si>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</si>
  <si>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</si>
  <si>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</si>
  <si>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</si>
  <si>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</si>
  <si>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</si>
  <si>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</si>
  <si>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</si>
  <si>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</si>
  <si>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</si>
  <si>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</si>
  <si>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</si>
  <si>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</si>
  <si>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</si>
  <si>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</si>
  <si>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</si>
  <si>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</si>
  <si>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</si>
  <si>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</si>
  <si>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</si>
  <si>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</si>
  <si>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</si>
  <si>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</si>
  <si>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</si>
  <si>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</si>
  <si>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</si>
  <si>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</si>
  <si>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</si>
  <si>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</si>
  <si>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</si>
  <si>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</si>
  <si>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</si>
  <si>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</si>
  <si>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</si>
  <si>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</si>
  <si>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</si>
  <si>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</si>
  <si>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</si>
  <si>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</si>
  <si>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</si>
  <si>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</si>
  <si>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</si>
  <si>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</si>
  <si>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</si>
  <si>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</si>
  <si>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</si>
  <si>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</si>
  <si>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</si>
  <si>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</si>
  <si>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</si>
  <si>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</si>
  <si>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</si>
  <si>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</si>
  <si>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</si>
  <si>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</si>
  <si>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</si>
  <si>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</si>
  <si>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</si>
  <si>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</si>
  <si>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</si>
  <si>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</si>
  <si>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</si>
  <si>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</si>
  <si>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</si>
  <si>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</si>
  <si>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</si>
  <si>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</si>
  <si>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</si>
  <si>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</si>
  <si>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</si>
  <si>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Global_logistics</t>
  </si>
  <si>
    <t>Samsung</t>
  </si>
  <si>
    <t>DHL</t>
  </si>
  <si>
    <t>Amazon</t>
  </si>
  <si>
    <t>Tech_Store</t>
  </si>
  <si>
    <t>Electronics</t>
  </si>
  <si>
    <t>Industrial Machinery</t>
  </si>
  <si>
    <t>Automotive Parts</t>
  </si>
  <si>
    <t>Pharmaceuticals</t>
  </si>
  <si>
    <t>Consumer Goods</t>
  </si>
  <si>
    <t>Raw Materials</t>
  </si>
  <si>
    <t>Textiles &amp; Apparel</t>
  </si>
  <si>
    <t>Construction Materials</t>
  </si>
  <si>
    <t>Chemicals</t>
  </si>
  <si>
    <t>Food &amp; Beverages</t>
  </si>
  <si>
    <t>Sea</t>
  </si>
  <si>
    <t>Delayed</t>
  </si>
  <si>
    <t>Air</t>
  </si>
  <si>
    <t>Delivered</t>
  </si>
  <si>
    <t>Shipped</t>
  </si>
  <si>
    <t>Land</t>
  </si>
  <si>
    <t/>
  </si>
  <si>
    <t>Lead Time</t>
  </si>
  <si>
    <t>Row Labels</t>
  </si>
  <si>
    <t>Grand Total</t>
  </si>
  <si>
    <t>Sum of Total Cost</t>
  </si>
  <si>
    <t>Average of Lead Time</t>
  </si>
  <si>
    <t>Count of Order ID</t>
  </si>
  <si>
    <t>Sum of Quantity</t>
  </si>
  <si>
    <t>Sum of Average_Unit_Cost</t>
  </si>
  <si>
    <t>Logistics Operations Performance Dashboard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</si>
</sst>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theme="0"/>
      <name val="Aptos Narrow"/>
      <family val="2"/>
      <scheme val="minor"/>
    </font>
    <font>
      <sz val="8"/>
      <name val="Aptos Narrow"/>
      <family val="2"/>
      <scheme val="minor"/>
    </font>
    <font>
      <sz val="36"/>
      <color theme="4" tint="-0.499984740745262"/>
      <name val="Arial Black"/>
      <family val="2"/>
    </font>
    <font>
      <sz val="36"/>
      <color theme="4" tint="-0.499984740745262"/>
      <name val="Aptos Narrow"/>
      <family val="2"/>
      <scheme val="minor"/>
    </font>
  </fonts>
  <fills count="28">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rgb="FFFFFF66"/>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CC9900"/>
        <bgColor indexed="64"/>
      </patternFill>
    </fill>
    <fill>
      <patternFill patternType="solid">
        <fgColor theme="3" tint="0.249977111117893"/>
        <bgColor indexed="64"/>
      </patternFill>
    </fill>
    <fill>
      <patternFill patternType="solid">
        <fgColor rgb="FF0066CC"/>
        <bgColor indexed="64"/>
      </patternFill>
    </fill>
    <fill>
      <patternFill patternType="solid">
        <fgColor theme="8" tint="-0.249977111117893"/>
        <bgColor indexed="64"/>
      </patternFill>
    </fill>
    <fill>
      <patternFill patternType="solid">
        <fgColor theme="2" tint="-0.499984740745262"/>
        <bgColor indexed="64"/>
      </patternFill>
    </fill>
    <fill>
      <patternFill patternType="solid">
        <fgColor theme="9" tint="-0.249977111117893"/>
        <bgColor indexed="64"/>
      </patternFill>
    </fill>
    <fill>
      <patternFill patternType="solid">
        <fgColor rgb="FFFF5050"/>
        <bgColor indexed="64"/>
      </patternFill>
    </fill>
    <fill>
      <patternFill patternType="solid">
        <fgColor rgb="FFCC6600"/>
        <bgColor indexed="64"/>
      </patternFill>
    </fill>
    <fill>
      <patternFill patternType="solid">
        <fgColor rgb="FFFF9900"/>
        <bgColor indexed="64"/>
      </patternFill>
    </fill>
    <fill>
      <patternFill patternType="solid">
        <fgColor theme="9" tint="0.79998168889431442"/>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1" fillId="2" borderId="0" xfId="0" applyFont="1" applyFill="1"/>
    <xf numFmtId="14" fontId="1" fillId="2" borderId="0" xfId="0" applyNumberFormat="1" applyFont="1" applyFill="1"/>
    <xf numFmtId="14" fontId="0" fillId="0" borderId="0" xfId="0" applyNumberForma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applyAlignment="1">
      <alignment horizontal="left"/>
    </xf>
    <xf numFmtId="0" fontId="0" fillId="10" borderId="0" xfId="0" applyNumberFormat="1" applyFill="1"/>
    <xf numFmtId="0" fontId="0" fillId="11" borderId="0" xfId="0" applyFill="1" applyAlignment="1">
      <alignment horizontal="left"/>
    </xf>
    <xf numFmtId="0" fontId="0" fillId="11" borderId="0" xfId="0" applyNumberFormat="1" applyFill="1"/>
    <xf numFmtId="0" fontId="0" fillId="12" borderId="0" xfId="0" applyFill="1" applyAlignment="1">
      <alignment horizontal="left"/>
    </xf>
    <xf numFmtId="0" fontId="0" fillId="12" borderId="0" xfId="0" applyNumberFormat="1" applyFill="1"/>
    <xf numFmtId="0" fontId="0" fillId="13" borderId="0" xfId="0" applyFill="1" applyAlignment="1">
      <alignment horizontal="left"/>
    </xf>
    <xf numFmtId="0" fontId="0" fillId="13" borderId="0" xfId="0" applyNumberFormat="1" applyFill="1"/>
    <xf numFmtId="0" fontId="0" fillId="14" borderId="0" xfId="0" applyFill="1" applyAlignment="1">
      <alignment horizontal="left"/>
    </xf>
    <xf numFmtId="0" fontId="0" fillId="14" borderId="0" xfId="0" applyNumberFormat="1" applyFill="1"/>
    <xf numFmtId="0" fontId="0" fillId="15" borderId="0" xfId="0" applyNumberFormat="1" applyFill="1"/>
    <xf numFmtId="0" fontId="0" fillId="16" borderId="0" xfId="0" applyFill="1" applyAlignment="1">
      <alignment horizontal="left"/>
    </xf>
    <xf numFmtId="0" fontId="0" fillId="16" borderId="0" xfId="0" applyNumberFormat="1" applyFill="1"/>
    <xf numFmtId="0" fontId="0" fillId="17" borderId="0" xfId="0" applyFill="1" applyAlignment="1">
      <alignment horizontal="left"/>
    </xf>
    <xf numFmtId="0" fontId="0" fillId="17" borderId="0" xfId="0" applyNumberFormat="1" applyFill="1"/>
    <xf numFmtId="0" fontId="0" fillId="18" borderId="0" xfId="0" applyFill="1" applyAlignment="1">
      <alignment horizontal="left"/>
    </xf>
    <xf numFmtId="0" fontId="0" fillId="18" borderId="0" xfId="0" applyNumberFormat="1" applyFill="1"/>
    <xf numFmtId="0" fontId="0" fillId="19" borderId="0" xfId="0" applyFill="1" applyAlignment="1">
      <alignment horizontal="left"/>
    </xf>
    <xf numFmtId="0" fontId="0" fillId="19" borderId="0" xfId="0" applyNumberFormat="1" applyFill="1"/>
    <xf numFmtId="0" fontId="0" fillId="20" borderId="0" xfId="0" applyFill="1" applyAlignment="1">
      <alignment horizontal="left"/>
    </xf>
    <xf numFmtId="0" fontId="0" fillId="20" borderId="0" xfId="0" applyNumberFormat="1" applyFill="1"/>
    <xf numFmtId="0" fontId="0" fillId="21" borderId="0" xfId="0" applyFill="1" applyAlignment="1">
      <alignment horizontal="left"/>
    </xf>
    <xf numFmtId="0" fontId="0" fillId="21" borderId="0" xfId="0" applyNumberFormat="1" applyFill="1"/>
    <xf numFmtId="0" fontId="0" fillId="22" borderId="0" xfId="0" applyNumberFormat="1" applyFill="1"/>
    <xf numFmtId="0" fontId="0" fillId="23" borderId="0" xfId="0" applyFill="1" applyAlignment="1">
      <alignment horizontal="left"/>
    </xf>
    <xf numFmtId="0" fontId="0" fillId="23" borderId="0" xfId="0" applyNumberFormat="1" applyFill="1"/>
    <xf numFmtId="0" fontId="0" fillId="24" borderId="0" xfId="0" applyFill="1" applyAlignment="1">
      <alignment horizontal="left"/>
    </xf>
    <xf numFmtId="0" fontId="0" fillId="24" borderId="0" xfId="0" applyNumberFormat="1" applyFill="1"/>
    <xf numFmtId="0" fontId="0" fillId="17" borderId="0" xfId="0" applyFill="1"/>
    <xf numFmtId="0" fontId="0" fillId="25" borderId="0" xfId="0" applyFill="1" applyAlignment="1">
      <alignment horizontal="left"/>
    </xf>
    <xf numFmtId="0" fontId="0" fillId="25" borderId="0" xfId="0" applyNumberFormat="1" applyFill="1"/>
    <xf numFmtId="0" fontId="0" fillId="26" borderId="0" xfId="0" applyFill="1" applyAlignment="1">
      <alignment horizontal="left"/>
    </xf>
    <xf numFmtId="0" fontId="0" fillId="26" borderId="0" xfId="0" applyNumberFormat="1" applyFill="1"/>
    <xf numFmtId="0" fontId="0" fillId="27" borderId="0" xfId="0" applyFill="1"/>
    <xf numFmtId="0" fontId="0" fillId="15" borderId="0" xfId="0" applyFill="1" applyAlignment="1">
      <alignment horizontal="left"/>
    </xf>
    <xf numFmtId="14" fontId="1" fillId="2" borderId="0" xfId="0" applyNumberFormat="1" applyFont="1" applyFill="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1" fillId="2" borderId="0" xfId="0" applyFont="1" applyFill="1" applyAlignment="1">
      <alignment horizontal="center"/>
    </xf>
    <xf numFmtId="0" fontId="0" fillId="0" borderId="0" xfId="0" applyAlignment="1">
      <alignment horizontal="center"/>
    </xf>
    <xf numFmtId="0" fontId="1" fillId="2" borderId="0" xfId="0" applyFont="1" applyFill="1" applyAlignment="1">
      <alignment horizontal="center" vertical="center"/>
    </xf>
    <xf numFmtId="0" fontId="0" fillId="12" borderId="1" xfId="0" applyFill="1" applyBorder="1"/>
    <xf numFmtId="14" fontId="0" fillId="12" borderId="1" xfId="0" applyNumberFormat="1" applyFill="1" applyBorder="1"/>
    <xf numFmtId="0" fontId="3" fillId="11" borderId="0" xfId="0" applyFont="1" applyFill="1" applyAlignment="1">
      <alignment horizontal="center" vertical="center"/>
    </xf>
    <xf numFmtId="0" fontId="4" fillId="11" borderId="0" xfId="0" applyFont="1" applyFill="1" applyAlignment="1">
      <alignment horizontal="center" vertical="center"/>
    </xf>
  </cellXfs>
  <cellStyles count="1">
    <cellStyle name="Normal" xfId="0" builtinId="0"/>
  </cellStyles>
  <dxfs count="72">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theme="0"/>
        <name val="Aptos Narrow"/>
        <family val="2"/>
        <scheme val="minor"/>
      </font>
      <fill>
        <patternFill patternType="solid">
          <fgColor indexed="64"/>
          <bgColor theme="4"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79998168889431442"/>
        </patternFill>
      </fill>
    </dxf>
    <dxf>
      <fill>
        <patternFill patternType="solid">
          <bgColor theme="9" tint="0.79998168889431442"/>
        </patternFill>
      </fill>
    </dxf>
    <dxf>
      <fill>
        <patternFill>
          <bgColor rgb="FFFF9900"/>
        </patternFill>
      </fill>
    </dxf>
    <dxf>
      <fill>
        <patternFill>
          <bgColor rgb="FFFF9900"/>
        </patternFill>
      </fill>
    </dxf>
    <dxf>
      <fill>
        <patternFill patternType="solid">
          <bgColor rgb="FFCC9900"/>
        </patternFill>
      </fill>
    </dxf>
    <dxf>
      <fill>
        <patternFill patternType="solid">
          <bgColor rgb="FFCC9900"/>
        </patternFill>
      </fill>
    </dxf>
    <dxf>
      <fill>
        <patternFill patternType="solid">
          <bgColor rgb="FFCC6600"/>
        </patternFill>
      </fill>
    </dxf>
    <dxf>
      <fill>
        <patternFill patternType="solid">
          <bgColor rgb="FFCC6600"/>
        </patternFill>
      </fill>
    </dxf>
    <dxf>
      <fill>
        <patternFill patternType="solid">
          <bgColor rgb="FFCC9900"/>
        </patternFill>
      </fill>
    </dxf>
    <dxf>
      <fill>
        <patternFill patternType="solid">
          <bgColor rgb="FFCC9900"/>
        </patternFill>
      </fill>
    </dxf>
    <dxf>
      <fill>
        <patternFill patternType="solid">
          <bgColor theme="3" tint="0.249977111117893"/>
        </patternFill>
      </fill>
    </dxf>
    <dxf>
      <fill>
        <patternFill patternType="solid">
          <bgColor theme="3" tint="0.249977111117893"/>
        </patternFill>
      </fill>
    </dxf>
    <dxf>
      <fill>
        <patternFill patternType="solid">
          <bgColor theme="3" tint="0.749992370372631"/>
        </patternFill>
      </fill>
    </dxf>
    <dxf>
      <fill>
        <patternFill patternType="solid">
          <bgColor theme="3" tint="0.749992370372631"/>
        </patternFill>
      </fill>
    </dxf>
    <dxf>
      <fill>
        <patternFill patternType="solid">
          <bgColor theme="3" tint="0.499984740745262"/>
        </patternFill>
      </fill>
    </dxf>
    <dxf>
      <fill>
        <patternFill patternType="solid">
          <bgColor theme="3" tint="0.499984740745262"/>
        </patternFill>
      </fill>
    </dxf>
    <dxf>
      <fill>
        <patternFill patternType="solid">
          <bgColor theme="8" tint="-0.249977111117893"/>
        </patternFill>
      </fill>
    </dxf>
    <dxf>
      <fill>
        <patternFill patternType="solid">
          <bgColor theme="8" tint="-0.249977111117893"/>
        </patternFill>
      </fill>
    </dxf>
    <dxf>
      <fill>
        <patternFill patternType="solid">
          <bgColor theme="8" tint="0.79998168889431442"/>
        </patternFill>
      </fill>
    </dxf>
    <dxf>
      <fill>
        <patternFill patternType="solid">
          <bgColor theme="8" tint="0.79998168889431442"/>
        </patternFill>
      </fill>
    </dxf>
    <dxf>
      <fill>
        <patternFill patternType="solid">
          <bgColor theme="8" tint="0.39997558519241921"/>
        </patternFill>
      </fill>
    </dxf>
    <dxf>
      <fill>
        <patternFill>
          <bgColor theme="8" tint="0.39997558519241921"/>
        </patternFill>
      </fill>
    </dxf>
    <dxf>
      <fill>
        <patternFill patternType="solid">
          <bgColor theme="6" tint="0.39997558519241921"/>
        </patternFill>
      </fill>
    </dxf>
    <dxf>
      <fill>
        <patternFill patternType="solid">
          <bgColor rgb="FFFF5050"/>
        </patternFill>
      </fill>
    </dxf>
    <dxf>
      <fill>
        <patternFill patternType="solid">
          <bgColor rgb="FFFF5050"/>
        </patternFill>
      </fill>
    </dxf>
    <dxf>
      <fill>
        <patternFill patternType="solid">
          <bgColor theme="9" tint="-0.249977111117893"/>
        </patternFill>
      </fill>
    </dxf>
    <dxf>
      <fill>
        <patternFill patternType="solid">
          <bgColor theme="5" tint="0.59999389629810485"/>
        </patternFill>
      </fill>
    </dxf>
    <dxf>
      <fill>
        <patternFill patternType="solid">
          <bgColor theme="5" tint="0.59999389629810485"/>
        </patternFill>
      </fill>
    </dxf>
    <dxf>
      <fill>
        <patternFill patternType="solid">
          <bgColor theme="9" tint="0.59999389629810485"/>
        </patternFill>
      </fill>
    </dxf>
    <dxf>
      <fill>
        <patternFill patternType="solid">
          <bgColor theme="6" tint="0.39997558519241921"/>
        </patternFill>
      </fill>
    </dxf>
    <dxf>
      <fill>
        <patternFill patternType="solid">
          <bgColor theme="6"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2" tint="-0.499984740745262"/>
        </patternFill>
      </fill>
    </dxf>
    <dxf>
      <fill>
        <patternFill patternType="solid">
          <bgColor theme="2" tint="-0.499984740745262"/>
        </patternFill>
      </fill>
    </dxf>
    <dxf>
      <fill>
        <patternFill patternType="solid">
          <bgColor theme="0" tint="-0.14999847407452621"/>
        </patternFill>
      </fill>
    </dxf>
    <dxf>
      <fill>
        <patternFill patternType="solid">
          <bgColor theme="0" tint="-0.14999847407452621"/>
        </patternFill>
      </fill>
    </dxf>
    <dxf>
      <fill>
        <patternFill patternType="solid">
          <bgColor theme="0" tint="-0.499984740745262"/>
        </patternFill>
      </fill>
    </dxf>
    <dxf>
      <fill>
        <patternFill>
          <bgColor theme="0" tint="-0.499984740745262"/>
        </patternFill>
      </fill>
    </dxf>
    <dxf>
      <fill>
        <patternFill patternType="solid">
          <bgColor theme="8" tint="0.39997558519241921"/>
        </patternFill>
      </fill>
    </dxf>
    <dxf>
      <fill>
        <patternFill>
          <bgColor rgb="FF0066CC"/>
        </patternFill>
      </fill>
    </dxf>
    <dxf>
      <fill>
        <patternFill>
          <bgColor rgb="FF0066CC"/>
        </patternFill>
      </fill>
    </dxf>
    <dxf>
      <fill>
        <patternFill patternType="solid">
          <bgColor theme="4" tint="-0.249977111117893"/>
        </patternFill>
      </fill>
    </dxf>
    <dxf>
      <fill>
        <patternFill patternType="solid">
          <bgColor theme="4" tint="-0.249977111117893"/>
        </patternFill>
      </fill>
    </dxf>
    <dxf>
      <fill>
        <patternFill patternType="solid">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rgb="FFCC9900"/>
        </patternFill>
      </fill>
    </dxf>
    <dxf>
      <fill>
        <patternFill patternType="solid">
          <bgColor rgb="FFCC9900"/>
        </patternFill>
      </fill>
    </dxf>
    <dxf>
      <fill>
        <patternFill patternType="solid">
          <bgColor rgb="FFFFFF66"/>
        </patternFill>
      </fill>
    </dxf>
    <dxf>
      <fill>
        <patternFill patternType="solid">
          <bgColor rgb="FFFFFF66"/>
        </patternFill>
      </fill>
    </dxf>
    <dxf>
      <fill>
        <patternFill patternType="solid">
          <bgColor rgb="FFFFFF00"/>
        </patternFill>
      </fill>
    </dxf>
    <dxf>
      <fill>
        <patternFill patternType="solid">
          <bgColor rgb="FFFFFF00"/>
        </patternFill>
      </fill>
    </dxf>
    <dxf>
      <fill>
        <patternFill patternType="gray125">
          <bgColor theme="5" tint="-0.24994659260841701"/>
        </patternFill>
      </fill>
    </dxf>
    <dxf>
      <fill>
        <patternFill patternType="lightGray">
          <bgColor theme="5" tint="-0.24994659260841701"/>
        </patternFill>
      </fill>
    </dxf>
    <dxf>
      <fill>
        <patternFill patternType="lightGray">
          <bgColor rgb="FFFF9900"/>
        </patternFill>
      </fill>
    </dxf>
    <dxf>
      <fill>
        <patternFill patternType="lightGray">
          <fgColor rgb="FFFFC000"/>
          <bgColor auto="1"/>
        </patternFill>
      </fill>
    </dxf>
    <dxf>
      <fill>
        <patternFill>
          <bgColor rgb="FFFFC000"/>
        </patternFill>
      </fill>
    </dxf>
  </dxfs>
  <tableStyles count="7" defaultTableStyle="TableStyleMedium2" defaultPivotStyle="PivotStyleLight16">
    <tableStyle name="Slicer Style 1" pivot="0" table="0" count="1" xr9:uid="{8EB098AE-FE90-48A4-8DE5-398D54C42374}">
      <tableStyleElement type="wholeTable" dxfId="71"/>
    </tableStyle>
    <tableStyle name="Slicer Style 2" pivot="0" table="0" count="1" xr9:uid="{DF6917A3-C3A1-4648-9C1A-417B4B39AAFF}">
      <tableStyleElement type="wholeTable" dxfId="70"/>
    </tableStyle>
    <tableStyle name="Slicer Style 3" pivot="0" table="0" count="1" xr9:uid="{EB0081BF-828E-4F93-857A-8DB0887D30BB}">
      <tableStyleElement type="wholeTable" dxfId="69"/>
    </tableStyle>
    <tableStyle name="Slicer Style 4" pivot="0" table="0" count="0" xr9:uid="{D2583DA3-012B-4377-A08C-05B908A800AA}"/>
    <tableStyle name="Slicer Style 5" pivot="0" table="0" count="0" xr9:uid="{100A05FE-0232-435F-9B15-449F8A1F0F5B}"/>
    <tableStyle name="Slicer Style 6" pivot="0" table="0" count="1" xr9:uid="{A5E6F286-9274-4A1B-987D-5EC1DEF22618}">
      <tableStyleElement type="headerRow" dxfId="68"/>
    </tableStyle>
    <tableStyle name="Slicer Style 7" pivot="0" table="0" count="1" xr9:uid="{D117BE08-2286-45C9-ABC6-AFA74E6B6987}">
      <tableStyleElement type="wholeTable" dxfId="67"/>
    </tableStyle>
  </tableStyles>
  <colors>
    <mruColors>
      <color rgb="FFFF9900"/>
      <color rgb="FFCC9900"/>
      <color rgb="FFCC6600"/>
      <color rgb="FFFF5050"/>
      <color rgb="FF0066CC"/>
      <color rgb="FFFFFF66"/>
    </mruColors>
  </colors>
  <extLst>
    <ext xmlns:x14="http://schemas.microsoft.com/office/spreadsheetml/2009/9/main" uri="{EB79DEF2-80B8-43e5-95BD-54CBDDF9020C}">
      <x14:slicerStyles defaultSlicerStyle="Slicer Style 6">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[Logistics_Project_Data.xlsx]Analysis!PivotTable4</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Analysis!$B$1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Analysis!$A$2:$A$7</c:f>
              <c:strCache>
                <c:ptCount val="5"/>
                <c:pt idx="0">
                  <c:v>Amazon</c:v>
                </c:pt>
                <c:pt idx="1">
                  <c:v>DHL</c:v>
                </c:pt>
                <c:pt idx="2">
                  <c:v>Global_logistics</c:v>
                </c:pt>
                <c:pt idx="3">
                  <c:v>Samsung</c:v>
                </c:pt>
                <c:pt idx="4">
                  <c:v>Tech_Store</c:v>
                </c:pt>
              </c:strCache>
            </c:strRef>
          </c:cat>
          <c:val>
            <c:numRef>
              <c:f>Analysis!$B$2:$B$7</c:f>
              <c:numCache>
                <c:formatCode>General</c:formatCode>
                <c:ptCount val="5"/>
                <c:pt idx="0">
                  <c:v>43219122</c:v>
                </c:pt>
                <c:pt idx="1">
                  <c:v>42926129</c:v>
                </c:pt>
                <c:pt idx="2">
                  <c:v>56277472</c:v>
                </c:pt>
                <c:pt idx="3">
                  <c:v>49615848</c:v>
                </c:pt>
                <c:pt idx="4">
                  <c:v>56004090</c:v>
                </c:pt>
              </c:numCache>
            </c:numRef>
          </c:val>
          <c:extLst>
            <c:ext xmlns:c16="http://schemas.microsoft.com/office/drawing/2014/chart" uri="{C3380CC4-5D6E-409C-BE32-E72D297353CC}">
              <c16:uniqueId val="{00000000-3DB0-40A2-AC11-5D211D3E7CB0}"/>
            </c:ext>
          </c:extLst>
        </c:ser>
        <c:dLbls>
          <c:showLegendKey val="0"/>
          <c:showVal val="0"/>
          <c:showCatName val="0"/>
          <c:showSerName val="0"/>
          <c:showPercent val="0"/>
          <c:showBubbleSize val="0"/>
        </c:dLbls>
        <c:gapWidth val="65"/>
        <c:shape val="box"/>
        <c:axId val="748658591"/>
        <c:axId val="748654271"/>
        <c:axId val="739555183"/>
      </c:bar3DChart>
      <c:catAx>
        <c:axId val="7486585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8654271"/>
        <c:crosses val="autoZero"/>
        <c:auto val="1"/>
        <c:lblAlgn val="ctr"/>
        <c:lblOffset val="100"/>
        <c:noMultiLvlLbl val="0"/>
      </c:catAx>
      <c:valAx>
        <c:axId val="74865427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8658591"/>
        <c:crosses val="autoZero"/>
        <c:crossBetween val="between"/>
      </c:valAx>
      <c:serAx>
        <c:axId val="739555183"/>
        <c:scaling>
          <c:orientation val="minMax"/>
        </c:scaling>
        <c:delete val="1"/>
        <c:axPos val="b"/>
        <c:majorTickMark val="none"/>
        <c:minorTickMark val="none"/>
        <c:tickLblPos val="nextTo"/>
        <c:crossAx val="748654271"/>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[Logistics_Project_Data.xlsx]Analysis!PivotTable9</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Analysis!$B$13</c:f>
              <c:strCache>
                <c:ptCount val="1"/>
                <c:pt idx="0">
                  <c:v>Sum of Total Cost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Analysis!$A$14:$A$19</c:f>
              <c:strCache>
                <c:ptCount val="5"/>
                <c:pt idx="0">
                  <c:v>Amazon</c:v>
                </c:pt>
                <c:pt idx="1">
                  <c:v>DHL</c:v>
                </c:pt>
                <c:pt idx="2">
                  <c:v>Global_logistics</c:v>
                </c:pt>
                <c:pt idx="3">
                  <c:v>Samsung</c:v>
                </c:pt>
                <c:pt idx="4">
                  <c:v>Tech_Store</c:v>
                </c:pt>
              </c:strCache>
            </c:strRef>
          </c:cat>
          <c:val>
            <c:numRef>
              <c:f>Analysis!$B$14:$B$19</c:f>
              <c:numCache>
                <c:formatCode>General</c:formatCode>
                <c:ptCount val="5"/>
                <c:pt idx="0">
                  <c:v>43219122</c:v>
                </c:pt>
                <c:pt idx="1">
                  <c:v>42926129</c:v>
                </c:pt>
                <c:pt idx="2">
                  <c:v>56277472</c:v>
                </c:pt>
                <c:pt idx="3">
                  <c:v>49615848</c:v>
                </c:pt>
                <c:pt idx="4">
                  <c:v>56004090</c:v>
                </c:pt>
              </c:numCache>
            </c:numRef>
          </c:val>
          <c:smooth val="0"/>
          <c:extLst>
            <c:ext xmlns:c16="http://schemas.microsoft.com/office/drawing/2014/chart" uri="{C3380CC4-5D6E-409C-BE32-E72D297353CC}">
              <c16:uniqueId val="{00000000-7768-46BE-83F7-BAAB49C6CDEE}"/>
            </c:ext>
          </c:extLst>
        </c:ser>
        <c:ser>
          <c:idx val="1"/>
          <c:order val="1"/>
          <c:tx>
            <c:strRef>
              <c:f>Analysis!$C$13</c:f>
              <c:strCache>
                <c:ptCount val="1"/>
                <c:pt idx="0">
                  <c:v>Sum of Quantity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Analysis!$A$14:$A$19</c:f>
              <c:strCache>
                <c:ptCount val="5"/>
                <c:pt idx="0">
                  <c:v>Amazon</c:v>
                </c:pt>
                <c:pt idx="1">
                  <c:v>DHL</c:v>
                </c:pt>
                <c:pt idx="2">
                  <c:v>Global_logistics</c:v>
                </c:pt>
                <c:pt idx="3">
                  <c:v>Samsung</c:v>
                </c:pt>
                <c:pt idx="4">
                  <c:v>Tech_Store</c:v>
                </c:pt>
              </c:strCache>
            </c:strRef>
          </c:cat>
          <c:val>
            <c:numRef>
              <c:f>Analysis!$C$14:$C$19</c:f>
              <c:numCache>
                <c:formatCode>General</c:formatCode>
                <c:ptCount val="5"/>
                <c:pt idx="0">
                  <c:v>47285</c:v>
                </c:pt>
                <c:pt idx="1">
                  <c:v>42708</c:v>
                </c:pt>
                <c:pt idx="2">
                  <c:v>53938</c:v>
                </c:pt>
                <c:pt idx="3">
                  <c:v>53081</c:v>
                </c:pt>
                <c:pt idx="4">
                  <c:v>53060</c:v>
                </c:pt>
              </c:numCache>
            </c:numRef>
          </c:val>
          <c:smooth val="0"/>
          <c:extLst>
            <c:ext xmlns:c16="http://schemas.microsoft.com/office/drawing/2014/chart" uri="{C3380CC4-5D6E-409C-BE32-E72D297353CC}">
              <c16:uniqueId val="{00000001-7768-46BE-83F7-BAAB49C6CDEE}"/>
            </c:ext>
          </c:extLst>
        </c:ser>
        <c:ser>
          <c:idx val="2"/>
          <c:order val="2"/>
          <c:tx>
            <c:strRef>
              <c:f>Analysis!$D$13</c:f>
              <c:strCache>
                <c:ptCount val="1"/>
                <c:pt idx="0">
                  <c:v>Sum of Average_Unit_Cost</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Analysis!$A$14:$A$19</c:f>
              <c:strCache>
                <c:ptCount val="5"/>
                <c:pt idx="0">
                  <c:v>Amazon</c:v>
                </c:pt>
                <c:pt idx="1">
                  <c:v>DHL</c:v>
                </c:pt>
                <c:pt idx="2">
                  <c:v>Global_logistics</c:v>
                </c:pt>
                <c:pt idx="3">
                  <c:v>Samsung</c:v>
                </c:pt>
                <c:pt idx="4">
                  <c:v>Tech_Store</c:v>
                </c:pt>
              </c:strCache>
            </c:strRef>
          </c:cat>
          <c:val>
            <c:numRef>
              <c:f>Analysis!$D$14:$D$19</c:f>
              <c:numCache>
                <c:formatCode>General</c:formatCode>
                <c:ptCount val="5"/>
                <c:pt idx="0">
                  <c:v>914.01336576081212</c:v>
                </c:pt>
                <c:pt idx="1">
                  <c:v>1005.1074505947364</c:v>
                </c:pt>
                <c:pt idx="2">
                  <c:v>1043.3733545923096</c:v>
                </c:pt>
                <c:pt idx="3">
                  <c:v>934.719541832294</c:v>
                </c:pt>
                <c:pt idx="4">
                  <c:v>1055.4860535243122</c:v>
                </c:pt>
              </c:numCache>
            </c:numRef>
          </c:val>
          <c:smooth val="0"/>
          <c:extLst>
            <c:ext xmlns:c16="http://schemas.microsoft.com/office/drawing/2014/chart" uri="{C3380CC4-5D6E-409C-BE32-E72D297353CC}">
              <c16:uniqueId val="{00000002-7768-46BE-83F7-BAAB49C6CDEE}"/>
            </c:ext>
          </c:extLst>
        </c:ser>
        <c:dLbls>
          <c:showLegendKey val="0"/>
          <c:showVal val="0"/>
          <c:showCatName val="0"/>
          <c:showSerName val="0"/>
          <c:showPercent val="0"/>
          <c:showBubbleSize val="0"/>
        </c:dLbls>
        <c:marker val="1"/>
        <c:smooth val="0"/>
        <c:axId val="748660031"/>
        <c:axId val="748662431"/>
      </c:lineChart>
      <c:catAx>
        <c:axId val="7486600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8662431"/>
        <c:crosses val="autoZero"/>
        <c:auto val="1"/>
        <c:lblAlgn val="ctr"/>
        <c:lblOffset val="100"/>
        <c:noMultiLvlLbl val="0"/>
      </c:catAx>
      <c:valAx>
        <c:axId val="7486624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866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[Logistics_Project_Data.xlsx]Analysis!PivotTable11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Analysis!$F$18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2C8-45A5-A0A1-88395FD8CB5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2C8-45A5-A0A1-88395FD8CB5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2C8-45A5-A0A1-88395FD8CB5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Analysis!$E$19:$E$22</c:f>
              <c:strCache>
                <c:ptCount val="3"/>
                <c:pt idx="0">
                  <c:v>Delayed</c:v>
                </c:pt>
                <c:pt idx="1">
                  <c:v>Delivered</c:v>
                </c:pt>
                <c:pt idx="2">
                  <c:v>Shipped</c:v>
                </c:pt>
              </c:strCache>
            </c:strRef>
          </c:cat>
          <c:val>
            <c:numRef>
              <c:f>Analysis!$F$19:$F$22</c:f>
              <c:numCache>
                <c:formatCode>General</c:formatCode>
                <c:ptCount val="3"/>
                <c:pt idx="0">
                  <c:v>338</c:v>
                </c:pt>
                <c:pt idx="1">
                  <c:v>334</c:v>
                </c:pt>
                <c:pt idx="2">
                  <c:v>328</c:v>
                </c:pt>
              </c:numCache>
            </c:numRef>
          </c:val>
          <c:extLst>
            <c:ext xmlns:c16="http://schemas.microsoft.com/office/drawing/2014/chart" uri="{C3380CC4-5D6E-409C-BE32-E72D297353CC}">
              <c16:uniqueId val="{00000006-92C8-45A5-A0A1-88395FD8CB5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[Logistics_Project_Data.xlsx]Analysis!PivotTable13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2"/>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
          <c:y val="0.30118794717397807"/>
          <c:w val="0.95710267229254575"/>
          <c:h val="0.69881205282602199"/>
        </c:manualLayout>
      </c:layout>
      <c:ofPieChart>
        <c:ofPieType val="pie"/>
        <c:varyColors val="1"/>
        <c:ser>
          <c:idx val="0"/>
          <c:order val="0"/>
          <c:tx>
            <c:strRef>
              <c:f>Analysis!$F$23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1E8-4907-9E1B-E8971716F023}"/>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1E8-4907-9E1B-E8971716F023}"/>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1E8-4907-9E1B-E8971716F023}"/>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1E8-4907-9E1B-E8971716F0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Analysis!$E$24:$E$27</c:f>
              <c:strCache>
                <c:ptCount val="3"/>
                <c:pt idx="0">
                  <c:v>Air</c:v>
                </c:pt>
                <c:pt idx="1">
                  <c:v>Land</c:v>
                </c:pt>
                <c:pt idx="2">
                  <c:v>Sea</c:v>
                </c:pt>
              </c:strCache>
            </c:strRef>
          </c:cat>
          <c:val>
            <c:numRef>
              <c:f>Analysis!$F$24:$F$27</c:f>
              <c:numCache>
                <c:formatCode>General</c:formatCode>
                <c:ptCount val="3"/>
                <c:pt idx="0">
                  <c:v>83806590</c:v>
                </c:pt>
                <c:pt idx="1">
                  <c:v>84439824</c:v>
                </c:pt>
                <c:pt idx="2">
                  <c:v>79796247</c:v>
                </c:pt>
              </c:numCache>
            </c:numRef>
          </c:val>
          <c:extLst>
            <c:ext xmlns:c16="http://schemas.microsoft.com/office/drawing/2014/chart" uri="{C3380CC4-5D6E-409C-BE32-E72D297353CC}">
              <c16:uniqueId val="{00000008-C1E8-4907-9E1B-E8971716F023}"/>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dk1">
                  <a:lumMod val="35000"/>
                  <a:lumOff val="65000"/>
                </a:schemeClr>
              </a:solidFill>
              <a:round/>
            </a:ln>
            <a:effectLst/>
          </c:spPr>
        </c:serLines>
      </c:of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[Logistics_Project_Data.xlsx]Analysis!PivotTable12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Analysis!$B$20</c:f>
              <c:strCache>
                <c:ptCount val="1"/>
                <c:pt idx="0">
                  <c:v>Total</c:v>
                </c:pt>
              </c:strCache>
            </c:strRef>
          </c:tx>
          <c:spPr>
            <a:solidFill>
              <a:schemeClr val="accent1">
                <a:lumMod val="20000"/>
                <a:lumOff val="80000"/>
              </a:schemeClr>
            </a:solidFill>
            <a:ln>
              <a:noFill/>
            </a:ln>
            <a:effectLst/>
            <a:sp3d/>
          </c:spPr>
          <c:invertIfNegative val="0"/>
          <c:cat>
            <c:strRef>
              <c:f>Analysis!$A$21:$A$24</c:f>
              <c:strCache>
                <c:ptCount val="3"/>
                <c:pt idx="0">
                  <c:v>Delayed</c:v>
                </c:pt>
                <c:pt idx="1">
                  <c:v>Delivered</c:v>
                </c:pt>
                <c:pt idx="2">
                  <c:v>Shipped</c:v>
                </c:pt>
              </c:strCache>
            </c:strRef>
          </c:cat>
          <c:val>
            <c:numRef>
              <c:f>Analysis!$B$21:$B$24</c:f>
              <c:numCache>
                <c:formatCode>General</c:formatCode>
                <c:ptCount val="3"/>
                <c:pt idx="0">
                  <c:v>338</c:v>
                </c:pt>
                <c:pt idx="1">
                  <c:v>334</c:v>
                </c:pt>
                <c:pt idx="2">
                  <c:v>328</c:v>
                </c:pt>
              </c:numCache>
            </c:numRef>
          </c:val>
          <c:extLst>
            <c:ext xmlns:c16="http://schemas.microsoft.com/office/drawing/2014/chart" uri="{C3380CC4-5D6E-409C-BE32-E72D297353CC}">
              <c16:uniqueId val="{00000000-E0A6-4CB9-B72A-97BABEE8412D}"/>
            </c:ext>
          </c:extLst>
        </c:ser>
        <c:dLbls>
          <c:showLegendKey val="0"/>
          <c:showVal val="0"/>
          <c:showCatName val="0"/>
          <c:showSerName val="0"/>
          <c:showPercent val="0"/>
          <c:showBubbleSize val="0"/>
        </c:dLbls>
        <c:gapWidth val="154"/>
        <c:gapDepth val="0"/>
        <c:shape val="box"/>
        <c:axId val="716354591"/>
        <c:axId val="716357471"/>
        <c:axId val="0"/>
      </c:bar3DChart>
      <c:catAx>
        <c:axId val="716354591"/>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716357471"/>
        <c:crosses val="autoZero"/>
        <c:auto val="1"/>
        <c:lblAlgn val="ctr"/>
        <c:lblOffset val="100"/>
        <c:noMultiLvlLbl val="0"/>
      </c:catAx>
      <c:valAx>
        <c:axId val="716357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635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[Logistics_Project_Data.xlsx]Analysis!PivotTable9</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12992125984251"/>
          <c:y val="0.23769787812667995"/>
          <c:w val="0.31840682414698163"/>
          <c:h val="0.46034721563419029"/>
        </c:manualLayout>
      </c:layout>
      <c:radarChart>
        <c:radarStyle val="marker"/>
        <c:varyColors val="0"/>
        <c:ser>
          <c:idx val="0"/>
          <c:order val="0"/>
          <c:tx>
            <c:strRef>
              <c:f>Analysis!$B$13</c:f>
              <c:strCache>
                <c:ptCount val="1"/>
                <c:pt idx="0">
                  <c:v>Sum of Total Cost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Analysis!$A$14:$A$19</c:f>
              <c:strCache>
                <c:ptCount val="5"/>
                <c:pt idx="0">
                  <c:v>Amazon</c:v>
                </c:pt>
                <c:pt idx="1">
                  <c:v>DHL</c:v>
                </c:pt>
                <c:pt idx="2">
                  <c:v>Global_logistics</c:v>
                </c:pt>
                <c:pt idx="3">
                  <c:v>Samsung</c:v>
                </c:pt>
                <c:pt idx="4">
                  <c:v>Tech_Store</c:v>
                </c:pt>
              </c:strCache>
            </c:strRef>
          </c:cat>
          <c:val>
            <c:numRef>
              <c:f>Analysis!$B$14:$B$19</c:f>
              <c:numCache>
                <c:formatCode>General</c:formatCode>
                <c:ptCount val="5"/>
                <c:pt idx="0">
                  <c:v>43219122</c:v>
                </c:pt>
                <c:pt idx="1">
                  <c:v>42926129</c:v>
                </c:pt>
                <c:pt idx="2">
                  <c:v>56277472</c:v>
                </c:pt>
                <c:pt idx="3">
                  <c:v>49615848</c:v>
                </c:pt>
                <c:pt idx="4">
                  <c:v>56004090</c:v>
                </c:pt>
              </c:numCache>
            </c:numRef>
          </c:val>
          <c:extLst>
            <c:ext xmlns:c16="http://schemas.microsoft.com/office/drawing/2014/chart" uri="{C3380CC4-5D6E-409C-BE32-E72D297353CC}">
              <c16:uniqueId val="{00000000-3BEF-4945-A041-068C40161315}"/>
            </c:ext>
          </c:extLst>
        </c:ser>
        <c:ser>
          <c:idx val="1"/>
          <c:order val="1"/>
          <c:tx>
            <c:strRef>
              <c:f>Analysis!$C$13</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Analysis!$A$14:$A$19</c:f>
              <c:strCache>
                <c:ptCount val="5"/>
                <c:pt idx="0">
                  <c:v>Amazon</c:v>
                </c:pt>
                <c:pt idx="1">
                  <c:v>DHL</c:v>
                </c:pt>
                <c:pt idx="2">
                  <c:v>Global_logistics</c:v>
                </c:pt>
                <c:pt idx="3">
                  <c:v>Samsung</c:v>
                </c:pt>
                <c:pt idx="4">
                  <c:v>Tech_Store</c:v>
                </c:pt>
              </c:strCache>
            </c:strRef>
          </c:cat>
          <c:val>
            <c:numRef>
              <c:f>Analysis!$C$14:$C$19</c:f>
              <c:numCache>
                <c:formatCode>General</c:formatCode>
                <c:ptCount val="5"/>
                <c:pt idx="0">
                  <c:v>47285</c:v>
                </c:pt>
                <c:pt idx="1">
                  <c:v>42708</c:v>
                </c:pt>
                <c:pt idx="2">
                  <c:v>53938</c:v>
                </c:pt>
                <c:pt idx="3">
                  <c:v>53081</c:v>
                </c:pt>
                <c:pt idx="4">
                  <c:v>53060</c:v>
                </c:pt>
              </c:numCache>
            </c:numRef>
          </c:val>
          <c:extLst>
            <c:ext xmlns:c16="http://schemas.microsoft.com/office/drawing/2014/chart" uri="{C3380CC4-5D6E-409C-BE32-E72D297353CC}">
              <c16:uniqueId val="{00000001-3BEF-4945-A041-068C40161315}"/>
            </c:ext>
          </c:extLst>
        </c:ser>
        <c:ser>
          <c:idx val="2"/>
          <c:order val="2"/>
          <c:tx>
            <c:strRef>
              <c:f>Analysis!$D$13</c:f>
              <c:strCache>
                <c:ptCount val="1"/>
                <c:pt idx="0">
                  <c:v>Sum of Average_Unit_Cost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Analysis!$A$14:$A$19</c:f>
              <c:strCache>
                <c:ptCount val="5"/>
                <c:pt idx="0">
                  <c:v>Amazon</c:v>
                </c:pt>
                <c:pt idx="1">
                  <c:v>DHL</c:v>
                </c:pt>
                <c:pt idx="2">
                  <c:v>Global_logistics</c:v>
                </c:pt>
                <c:pt idx="3">
                  <c:v>Samsung</c:v>
                </c:pt>
                <c:pt idx="4">
                  <c:v>Tech_Store</c:v>
                </c:pt>
              </c:strCache>
            </c:strRef>
          </c:cat>
          <c:val>
            <c:numRef>
              <c:f>Analysis!$D$14:$D$19</c:f>
              <c:numCache>
                <c:formatCode>General</c:formatCode>
                <c:ptCount val="5"/>
                <c:pt idx="0">
                  <c:v>914.01336576081212</c:v>
                </c:pt>
                <c:pt idx="1">
                  <c:v>1005.1074505947364</c:v>
                </c:pt>
                <c:pt idx="2">
                  <c:v>1043.3733545923096</c:v>
                </c:pt>
                <c:pt idx="3">
                  <c:v>934.719541832294</c:v>
                </c:pt>
                <c:pt idx="4">
                  <c:v>1055.4860535243122</c:v>
                </c:pt>
              </c:numCache>
            </c:numRef>
          </c:val>
          <c:extLst>
            <c:ext xmlns:c16="http://schemas.microsoft.com/office/drawing/2014/chart" uri="{C3380CC4-5D6E-409C-BE32-E72D297353CC}">
              <c16:uniqueId val="{00000002-3BEF-4945-A041-068C40161315}"/>
            </c:ext>
          </c:extLst>
        </c:ser>
        <c:dLbls>
          <c:showLegendKey val="0"/>
          <c:showVal val="0"/>
          <c:showCatName val="0"/>
          <c:showSerName val="0"/>
          <c:showPercent val="0"/>
          <c:showBubbleSize val="0"/>
        </c:dLbls>
        <c:axId val="713164767"/>
        <c:axId val="713165247"/>
      </c:radarChart>
      <c:catAx>
        <c:axId val="713164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3165247"/>
        <c:crosses val="autoZero"/>
        <c:auto val="1"/>
        <c:lblAlgn val="ctr"/>
        <c:lblOffset val="100"/>
        <c:noMultiLvlLbl val="0"/>
      </c:catAx>
      <c:valAx>
        <c:axId val="71316524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713164767"/>
        <c:crosses val="autoZero"/>
        <c:crossBetween val="between"/>
        <c:majorUnit val="100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[Logistics_Project_Data.xlsx]Analysis!PivotTable5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Analysis!$D$1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Analysis!$C$2:$C$12</c:f>
              <c:strCache>
                <c:ptCount val="10"/>
                <c:pt idx="0">
                  <c:v>Automotive Parts</c:v>
                </c:pt>
                <c:pt idx="1">
                  <c:v>Chemicals</c:v>
                </c:pt>
                <c:pt idx="2">
                  <c:v>Construction Materials</c:v>
                </c:pt>
                <c:pt idx="3">
                  <c:v>Consumer Goods</c:v>
                </c:pt>
                <c:pt idx="4">
                  <c:v>Electronics</c:v>
                </c:pt>
                <c:pt idx="5">
                  <c:v>Food &amp; Beverages</c:v>
                </c:pt>
                <c:pt idx="6">
                  <c:v>Industrial Machinery</c:v>
                </c:pt>
                <c:pt idx="7">
                  <c:v>Pharmaceuticals</c:v>
                </c:pt>
                <c:pt idx="8">
                  <c:v>Raw Materials</c:v>
                </c:pt>
                <c:pt idx="9">
                  <c:v>Textiles &amp; Apparel</c:v>
                </c:pt>
              </c:strCache>
            </c:strRef>
          </c:cat>
          <c:val>
            <c:numRef>
              <c:f>Analysis!$D$2:$D$12</c:f>
              <c:numCache>
                <c:formatCode>General</c:formatCode>
                <c:ptCount val="10"/>
                <c:pt idx="0">
                  <c:v>10.28125</c:v>
                </c:pt>
                <c:pt idx="1">
                  <c:v>9.6857142857142851</c:v>
                </c:pt>
                <c:pt idx="2">
                  <c:v>10.258064516129032</c:v>
                </c:pt>
                <c:pt idx="3">
                  <c:v>10.423076923076923</c:v>
                </c:pt>
                <c:pt idx="4">
                  <c:v>10.405405405405405</c:v>
                </c:pt>
                <c:pt idx="5">
                  <c:v>9.6341463414634152</c:v>
                </c:pt>
                <c:pt idx="6">
                  <c:v>10.555555555555555</c:v>
                </c:pt>
                <c:pt idx="7">
                  <c:v>10.181818181818182</c:v>
                </c:pt>
                <c:pt idx="8">
                  <c:v>9.3714285714285719</c:v>
                </c:pt>
                <c:pt idx="9">
                  <c:v>10.035714285714286</c:v>
                </c:pt>
              </c:numCache>
            </c:numRef>
          </c:val>
          <c:smooth val="0"/>
          <c:extLst>
            <c:ext xmlns:c16="http://schemas.microsoft.com/office/drawing/2014/chart" uri="{C3380CC4-5D6E-409C-BE32-E72D297353CC}">
              <c16:uniqueId val="{00000000-FAD6-45A5-AED9-AB1DD0AE599A}"/>
            </c:ext>
          </c:extLst>
        </c:ser>
        <c:dLbls>
          <c:showLegendKey val="0"/>
          <c:showVal val="0"/>
          <c:showCatName val="0"/>
          <c:showSerName val="0"/>
          <c:showPercent val="0"/>
          <c:showBubbleSize val="0"/>
        </c:dLbls>
        <c:axId val="775036239"/>
        <c:axId val="775037679"/>
        <c:axId val="690552591"/>
      </c:line3DChart>
      <c:catAx>
        <c:axId val="775036239"/>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5037679"/>
        <c:crosses val="autoZero"/>
        <c:auto val="1"/>
        <c:lblAlgn val="ctr"/>
        <c:lblOffset val="100"/>
        <c:noMultiLvlLbl val="0"/>
      </c:catAx>
      <c:valAx>
        <c:axId val="77503767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5036239"/>
        <c:crosses val="autoZero"/>
        <c:crossBetween val="between"/>
      </c:valAx>
      <c:serAx>
        <c:axId val="69055259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5037679"/>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[Logistics_Project_Data.xlsx]Analysis!PivotTable6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290643941405882E-2"/>
          <c:y val="0.13971622088892477"/>
          <c:w val="0.82057338810942149"/>
          <c:h val="0.6477942297516659"/>
        </c:manualLayout>
      </c:layout>
      <c:bar3DChart>
        <c:barDir val="col"/>
        <c:grouping val="standard"/>
        <c:varyColors val="0"/>
        <c:ser>
          <c:idx val="0"/>
          <c:order val="0"/>
          <c:tx>
            <c:strRef>
              <c:f>Analysis!$F$1</c:f>
              <c:strCache>
                <c:ptCount val="1"/>
                <c:pt idx="0">
                  <c:v>Total</c:v>
                </c:pt>
              </c:strCache>
            </c:strRef>
          </c:tx>
          <c:spPr>
            <a:solidFill>
              <a:schemeClr val="accent1">
                <a:lumMod val="20000"/>
                <a:lumOff val="80000"/>
              </a:schemeClr>
            </a:solidFill>
            <a:ln>
              <a:noFill/>
            </a:ln>
            <a:effectLst/>
            <a:sp3d/>
          </c:spPr>
          <c:invertIfNegative val="0"/>
          <c:cat>
            <c:strRef>
              <c:f>Analysis!$E$2:$E$5</c:f>
              <c:strCache>
                <c:ptCount val="3"/>
                <c:pt idx="0">
                  <c:v>Delayed</c:v>
                </c:pt>
                <c:pt idx="1">
                  <c:v>Delivered</c:v>
                </c:pt>
                <c:pt idx="2">
                  <c:v>Shipped</c:v>
                </c:pt>
              </c:strCache>
            </c:strRef>
          </c:cat>
          <c:val>
            <c:numRef>
              <c:f>Analysis!$F$2:$F$5</c:f>
              <c:numCache>
                <c:formatCode>General</c:formatCode>
                <c:ptCount val="3"/>
                <c:pt idx="0">
                  <c:v>338</c:v>
                </c:pt>
                <c:pt idx="1">
                  <c:v>334</c:v>
                </c:pt>
                <c:pt idx="2">
                  <c:v>328</c:v>
                </c:pt>
              </c:numCache>
            </c:numRef>
          </c:val>
          <c:extLst>
            <c:ext xmlns:c16="http://schemas.microsoft.com/office/drawing/2014/chart" uri="{C3380CC4-5D6E-409C-BE32-E72D297353CC}">
              <c16:uniqueId val="{00000000-27ED-4E26-BA0B-9FA1A032E23D}"/>
            </c:ext>
          </c:extLst>
        </c:ser>
        <c:dLbls>
          <c:showLegendKey val="0"/>
          <c:showVal val="0"/>
          <c:showCatName val="0"/>
          <c:showSerName val="0"/>
          <c:showPercent val="0"/>
          <c:showBubbleSize val="0"/>
        </c:dLbls>
        <c:gapWidth val="154"/>
        <c:gapDepth val="0"/>
        <c:shape val="box"/>
        <c:axId val="775042479"/>
        <c:axId val="775036719"/>
        <c:axId val="709585807"/>
      </c:bar3DChart>
      <c:catAx>
        <c:axId val="775042479"/>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775036719"/>
        <c:crosses val="autoZero"/>
        <c:auto val="1"/>
        <c:lblAlgn val="ctr"/>
        <c:lblOffset val="100"/>
        <c:noMultiLvlLbl val="0"/>
      </c:catAx>
      <c:valAx>
        <c:axId val="775036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75042479"/>
        <c:crosses val="autoZero"/>
        <c:crossBetween val="between"/>
      </c:valAx>
      <c:serAx>
        <c:axId val="709585807"/>
        <c:scaling>
          <c:orientation val="minMax"/>
        </c:scaling>
        <c:delete val="0"/>
        <c:axPos val="b"/>
        <c:majorGridlines>
          <c:spPr>
            <a:ln w="9525" cap="flat" cmpd="sng" algn="ctr">
              <a:solidFill>
                <a:schemeClr val="lt1">
                  <a:lumMod val="60000"/>
                  <a:lumOff val="40000"/>
                </a:schemeClr>
              </a:solidFill>
              <a:round/>
            </a:ln>
            <a:effectLst/>
          </c:spPr>
        </c:majorGridlines>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75036719"/>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[Logistics_Project_Data.xlsx]Analysis!PivotTable10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Analysis!$F$6</c:f>
              <c:strCache>
                <c:ptCount val="1"/>
                <c:pt idx="0">
                  <c:v>Total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Analysis!$E$7:$E$17</c:f>
              <c:strCache>
                <c:ptCount val="10"/>
                <c:pt idx="0">
                  <c:v>Automotive Parts</c:v>
                </c:pt>
                <c:pt idx="1">
                  <c:v>Chemicals</c:v>
                </c:pt>
                <c:pt idx="2">
                  <c:v>Construction Materials</c:v>
                </c:pt>
                <c:pt idx="3">
                  <c:v>Consumer Goods</c:v>
                </c:pt>
                <c:pt idx="4">
                  <c:v>Electronics</c:v>
                </c:pt>
                <c:pt idx="5">
                  <c:v>Food &amp; Beverages</c:v>
                </c:pt>
                <c:pt idx="6">
                  <c:v>Industrial Machinery</c:v>
                </c:pt>
                <c:pt idx="7">
                  <c:v>Pharmaceuticals</c:v>
                </c:pt>
                <c:pt idx="8">
                  <c:v>Raw Materials</c:v>
                </c:pt>
                <c:pt idx="9">
                  <c:v>Textiles &amp; Apparel</c:v>
                </c:pt>
              </c:strCache>
            </c:strRef>
          </c:cat>
          <c:val>
            <c:numRef>
              <c:f>Analysis!$F$7:$F$17</c:f>
              <c:numCache>
                <c:formatCode>General</c:formatCode>
                <c:ptCount val="10"/>
                <c:pt idx="0">
                  <c:v>10.28125</c:v>
                </c:pt>
                <c:pt idx="1">
                  <c:v>9.6857142857142851</c:v>
                </c:pt>
                <c:pt idx="2">
                  <c:v>10.258064516129032</c:v>
                </c:pt>
                <c:pt idx="3">
                  <c:v>10.423076923076923</c:v>
                </c:pt>
                <c:pt idx="4">
                  <c:v>10.405405405405405</c:v>
                </c:pt>
                <c:pt idx="5">
                  <c:v>9.6341463414634152</c:v>
                </c:pt>
                <c:pt idx="6">
                  <c:v>10.555555555555555</c:v>
                </c:pt>
                <c:pt idx="7">
                  <c:v>10.181818181818182</c:v>
                </c:pt>
                <c:pt idx="8">
                  <c:v>9.3714285714285719</c:v>
                </c:pt>
                <c:pt idx="9">
                  <c:v>10.035714285714286</c:v>
                </c:pt>
              </c:numCache>
            </c:numRef>
          </c:val>
          <c:extLst>
            <c:ext xmlns:c16="http://schemas.microsoft.com/office/drawing/2014/chart" uri="{C3380CC4-5D6E-409C-BE32-E72D297353CC}">
              <c16:uniqueId val="{00000000-5069-49E1-B6C9-6879F3AFF3B0}"/>
            </c:ext>
          </c:extLst>
        </c:ser>
        <c:dLbls>
          <c:showLegendKey val="0"/>
          <c:showVal val="0"/>
          <c:showCatName val="0"/>
          <c:showSerName val="0"/>
          <c:showPercent val="0"/>
          <c:showBubbleSize val="0"/>
        </c:dLbls>
        <c:axId val="775041519"/>
        <c:axId val="775042959"/>
      </c:radarChart>
      <c:catAx>
        <c:axId val="775041519"/>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5042959"/>
        <c:crosses val="autoZero"/>
        <c:auto val="1"/>
        <c:lblAlgn val="ctr"/>
        <c:lblOffset val="100"/>
        <c:noMultiLvlLbl val="0"/>
      </c:catAx>
      <c:valAx>
        <c:axId val="775042959"/>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504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8</xdr:col>
      <xdr:colOff>17318</xdr:colOff>
      <xdr:row>18</xdr:row>
      <xdr:rowOff>176213</xdr:rowOff>
    </xdr:to>
    <xdr:graphicFrame macro="">
      <xdr:nvGraphicFramePr>
        <xdr:cNvPr id="2" name="Chart 1">
          <a:extLst>
            <a:ext uri="{FF2B5EF4-FFF2-40B4-BE49-F238E27FC236}">
              <a16:creationId xmlns:a16="http://schemas.microsoft.com/office/drawing/2014/main" id="{0EA45205-B627-4897-9617-BC397D487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405274</xdr:colOff>
      <xdr:row>1</xdr:row>
      <xdr:rowOff>0</xdr:rowOff>
    </xdr:from>
    <xdr:to>
      <xdr:col>22</xdr:col>
      <xdr:colOff>127413</xdr:colOff>
      <xdr:row>17</xdr:row>
      <xdr:rowOff>0</xdr:rowOff>
    </xdr:to>
    <xdr:graphicFrame macro="">
      <xdr:nvGraphicFramePr>
        <xdr:cNvPr id="3" name="Chart 2">
          <a:extLst>
            <a:ext uri="{FF2B5EF4-FFF2-40B4-BE49-F238E27FC236}">
              <a16:creationId xmlns:a16="http://schemas.microsoft.com/office/drawing/2014/main" id="{18245563-6EEE-4619-87D0-153CDD7EC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238854</xdr:colOff>
      <xdr:row>15</xdr:row>
      <xdr:rowOff>185638</xdr:rowOff>
    </xdr:from>
    <xdr:to>
      <xdr:col>32</xdr:col>
      <xdr:colOff>590055</xdr:colOff>
      <xdr:row>42</xdr:row>
      <xdr:rowOff>103909</xdr:rowOff>
    </xdr:to>
    <xdr:graphicFrame macro="">
      <xdr:nvGraphicFramePr>
        <xdr:cNvPr id="4" name="Chart 3">
          <a:extLst>
            <a:ext uri="{FF2B5EF4-FFF2-40B4-BE49-F238E27FC236}">
              <a16:creationId xmlns:a16="http://schemas.microsoft.com/office/drawing/2014/main" id="{18436EC3-5203-42C4-9036-026CEEC98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90487</xdr:rowOff>
    </xdr:from>
    <xdr:to>
      <xdr:col>7</xdr:col>
      <xdr:colOff>571499</xdr:colOff>
      <xdr:row>28</xdr:row>
      <xdr:rowOff>161925</xdr:rowOff>
    </xdr:to>
    <xdr:graphicFrame macro="">
      <xdr:nvGraphicFramePr>
        <xdr:cNvPr id="5" name="Chart 4">
          <a:extLst>
            <a:ext uri="{FF2B5EF4-FFF2-40B4-BE49-F238E27FC236}">
              <a16:creationId xmlns:a16="http://schemas.microsoft.com/office/drawing/2014/main" id="{98B87029-7B47-4437-986A-020B3BF48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450274</xdr:colOff>
      <xdr:row>17</xdr:row>
      <xdr:rowOff>46696</xdr:rowOff>
    </xdr:from>
    <xdr:to>
      <xdr:col>23</xdr:col>
      <xdr:colOff>129888</xdr:colOff>
      <xdr:row>42</xdr:row>
      <xdr:rowOff>121227</xdr:rowOff>
    </xdr:to>
    <xdr:graphicFrame macro="">
      <xdr:nvGraphicFramePr>
        <xdr:cNvPr id="6" name="Chart 5">
          <a:extLst>
            <a:ext uri="{FF2B5EF4-FFF2-40B4-BE49-F238E27FC236}">
              <a16:creationId xmlns:a16="http://schemas.microsoft.com/office/drawing/2014/main" id="{32DC5DC0-6B4D-49B8-9A0F-CFEEE6FDD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107868</xdr:colOff>
      <xdr:row>1</xdr:row>
      <xdr:rowOff>0</xdr:rowOff>
    </xdr:from>
    <xdr:to>
      <xdr:col>15</xdr:col>
      <xdr:colOff>406483</xdr:colOff>
      <xdr:row>17</xdr:row>
      <xdr:rowOff>114300</xdr:rowOff>
    </xdr:to>
    <xdr:graphicFrame macro="">
      <xdr:nvGraphicFramePr>
        <xdr:cNvPr id="7" name="Chart 6">
          <a:extLst>
            <a:ext uri="{FF2B5EF4-FFF2-40B4-BE49-F238E27FC236}">
              <a16:creationId xmlns:a16="http://schemas.microsoft.com/office/drawing/2014/main" id="{4F6A275F-B9E0-489E-801F-49673519A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135453</xdr:colOff>
      <xdr:row>1</xdr:row>
      <xdr:rowOff>40511</xdr:rowOff>
    </xdr:from>
    <xdr:to>
      <xdr:col>33</xdr:col>
      <xdr:colOff>33398</xdr:colOff>
      <xdr:row>15</xdr:row>
      <xdr:rowOff>116711</xdr:rowOff>
    </xdr:to>
    <xdr:graphicFrame macro="">
      <xdr:nvGraphicFramePr>
        <xdr:cNvPr id="8" name="Chart 7">
          <a:extLst>
            <a:ext uri="{FF2B5EF4-FFF2-40B4-BE49-F238E27FC236}">
              <a16:creationId xmlns:a16="http://schemas.microsoft.com/office/drawing/2014/main" id="{39261A01-0563-45E3-B10E-BBDAB87D5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82138</xdr:colOff>
      <xdr:row>17</xdr:row>
      <xdr:rowOff>171015</xdr:rowOff>
    </xdr:from>
    <xdr:to>
      <xdr:col>15</xdr:col>
      <xdr:colOff>389661</xdr:colOff>
      <xdr:row>43</xdr:row>
      <xdr:rowOff>51955</xdr:rowOff>
    </xdr:to>
    <xdr:graphicFrame macro="">
      <xdr:nvGraphicFramePr>
        <xdr:cNvPr id="9" name="Chart 8">
          <a:extLst>
            <a:ext uri="{FF2B5EF4-FFF2-40B4-BE49-F238E27FC236}">
              <a16:creationId xmlns:a16="http://schemas.microsoft.com/office/drawing/2014/main" id="{51E7CA35-FB20-4C96-903F-620AE93A3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29</xdr:row>
      <xdr:rowOff>39151</xdr:rowOff>
    </xdr:from>
    <xdr:to>
      <xdr:col>7</xdr:col>
      <xdr:colOff>588818</xdr:colOff>
      <xdr:row>43</xdr:row>
      <xdr:rowOff>115351</xdr:rowOff>
    </xdr:to>
    <xdr:graphicFrame macro="">
      <xdr:nvGraphicFramePr>
        <xdr:cNvPr id="10" name="Chart 9">
          <a:extLst>
            <a:ext uri="{FF2B5EF4-FFF2-40B4-BE49-F238E27FC236}">
              <a16:creationId xmlns:a16="http://schemas.microsoft.com/office/drawing/2014/main" id="{5EBABAB5-B2AE-4030-8A4E-ACE9F2CC7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838201</xdr:colOff>
      <xdr:row>7</xdr:row>
      <xdr:rowOff>0</xdr:rowOff>
    </xdr:from>
    <xdr:to>
      <xdr:col>1</xdr:col>
      <xdr:colOff>824592</xdr:colOff>
      <xdr:row>12</xdr:row>
      <xdr:rowOff>9525</xdr:rowOff>
    </xdr:to>
    <mc:AlternateContent xmlns:mc="http://schemas.openxmlformats.org/markup-compatibility/2006" xmlns:a14="http://schemas.microsoft.com/office/drawing/2010/main">
      <mc:Choice Requires="a14">
        <xdr:graphicFrame macro="">
          <xdr:nvGraphicFramePr>
            <xdr:cNvPr id="2" name="Supplier Name">
              <a:extLst>
                <a:ext uri="{FF2B5EF4-FFF2-40B4-BE49-F238E27FC236}">
                  <a16:creationId xmlns:a16="http://schemas.microsoft.com/office/drawing/2014/main" id="{79095012-0BC3-10B4-E026-AF32E48F2A3C}"/>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838201" y="1333500"/>
              <a:ext cx="118382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7</xdr:row>
      <xdr:rowOff>0</xdr:rowOff>
    </xdr:from>
    <xdr:to>
      <xdr:col>0</xdr:col>
      <xdr:colOff>847725</xdr:colOff>
      <xdr:row>12</xdr:row>
      <xdr:rowOff>9525</xdr:rowOff>
    </xdr:to>
    <mc:AlternateContent xmlns:mc="http://schemas.openxmlformats.org/markup-compatibility/2006" xmlns:a14="http://schemas.microsoft.com/office/drawing/2010/main">
      <mc:Choice Requires="a14">
        <xdr:graphicFrame macro="">
          <xdr:nvGraphicFramePr>
            <xdr:cNvPr id="3" name="Shipping Method">
              <a:extLst>
                <a:ext uri="{FF2B5EF4-FFF2-40B4-BE49-F238E27FC236}">
                  <a16:creationId xmlns:a16="http://schemas.microsoft.com/office/drawing/2014/main" id="{A971E526-1177-7CEC-D3DF-E74D6DECE12E}"/>
                </a:ext>
              </a:extLst>
            </xdr:cNvPr>
            <xdr:cNvGraphicFramePr/>
          </xdr:nvGraphicFramePr>
          <xdr:xfrm>
            <a:off x="0" y="0"/>
            <a:ext cx="0" cy="0"/>
          </xdr:xfrm>
          <a:graphic>
            <a:graphicData uri="http://schemas.microsoft.com/office/drawing/2010/slicer">
              <sle:slicer xmlns:sle="http://schemas.microsoft.com/office/drawing/2010/slicer" name="Shipping Method"/>
            </a:graphicData>
          </a:graphic>
        </xdr:graphicFrame>
      </mc:Choice>
      <mc:Fallback xmlns="">
        <xdr:sp macro="" textlink="">
          <xdr:nvSpPr>
            <xdr:cNvPr id="0" name=""/>
            <xdr:cNvSpPr>
              <a:spLocks noTextEdit="1"/>
            </xdr:cNvSpPr>
          </xdr:nvSpPr>
          <xdr:spPr>
            <a:xfrm>
              <a:off x="1" y="1333500"/>
              <a:ext cx="847724"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xdr:colOff>
      <xdr:row>19</xdr:row>
      <xdr:rowOff>0</xdr:rowOff>
    </xdr:from>
    <xdr:to>
      <xdr:col>4</xdr:col>
      <xdr:colOff>13607</xdr:colOff>
      <xdr:row>24</xdr:row>
      <xdr:rowOff>9525</xdr:rowOff>
    </xdr:to>
    <mc:AlternateContent xmlns:mc="http://schemas.openxmlformats.org/markup-compatibility/2006" xmlns:a14="http://schemas.microsoft.com/office/drawing/2010/main">
      <mc:Choice Requires="a14">
        <xdr:graphicFrame macro="">
          <xdr:nvGraphicFramePr>
            <xdr:cNvPr id="4" name="Supplier Name 1">
              <a:extLst>
                <a:ext uri="{FF2B5EF4-FFF2-40B4-BE49-F238E27FC236}">
                  <a16:creationId xmlns:a16="http://schemas.microsoft.com/office/drawing/2014/main" id="{F2181DBE-5B4C-C819-20A8-C4865BED06FB}"/>
                </a:ext>
              </a:extLst>
            </xdr:cNvPr>
            <xdr:cNvGraphicFramePr/>
          </xdr:nvGraphicFramePr>
          <xdr:xfrm>
            <a:off x="0" y="0"/>
            <a:ext cx="0" cy="0"/>
          </xdr:xfrm>
          <a:graphic>
            <a:graphicData uri="http://schemas.microsoft.com/office/drawing/2010/slicer">
              <sle:slicer xmlns:sle="http://schemas.microsoft.com/office/drawing/2010/slicer" name="Supplier Name 1"/>
            </a:graphicData>
          </a:graphic>
        </xdr:graphicFrame>
      </mc:Choice>
      <mc:Fallback xmlns="">
        <xdr:sp macro="" textlink="">
          <xdr:nvSpPr>
            <xdr:cNvPr id="0" name=""/>
            <xdr:cNvSpPr>
              <a:spLocks noTextEdit="1"/>
            </xdr:cNvSpPr>
          </xdr:nvSpPr>
          <xdr:spPr>
            <a:xfrm>
              <a:off x="2676525" y="3619500"/>
              <a:ext cx="3705225"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0.010390509262" createdVersion="8" refreshedVersion="8" minRefreshableVersion="3" recordCount="1000" xr:uid="{398A223F-11E7-4C46-8621-DEC414CDEA6D}">
  <cacheSource type="worksheet">
    <worksheetSource name="Table1"/>
  </cacheSource>
  <cacheFields count="12">
    <cacheField name="Order ID" numFmtId="0">
      <sharedItems count="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haredItems>
    </cacheField>
    <cacheField name="Order Data" numFmtId="14">
      <sharedItems containsSemiMixedTypes="0" containsNonDate="0" containsDate="1" containsString="0" minDate="2025-01-01T00:00:00" maxDate="2026-01-28T00:00:00"/>
    </cacheField>
    <cacheField name="Supplier Name" numFmtId="0">
      <sharedItems count="5">
        <s v="Samsung"/>
        <s v="Tech_Store"/>
        <s v="Global_logistics"/>
        <s v="DHL"/>
        <s v="Amazon"/>
      </sharedItems>
    </cacheField>
    <cacheField name="Product Category" numFmtId="0">
      <sharedItems count="10">
        <s v="Food &amp; Beverages"/>
        <s v="Automotive Parts"/>
        <s v="Raw Materials"/>
        <s v="Pharmaceuticals"/>
        <s v="Construction Materials"/>
        <s v="Textiles &amp; Apparel"/>
        <s v="Consumer Goods"/>
        <s v="Chemicals"/>
        <s v="Industrial Machinery"/>
        <s v="Electronics"/>
      </sharedItems>
    </cacheField>
    <cacheField name="Quantity" numFmtId="0">
      <sharedItems containsSemiMixedTypes="0" containsString="0" containsNumber="1" containsInteger="1" minValue="1" maxValue="500"/>
    </cacheField>
    <cacheField name="Unit Cost" numFmtId="0">
      <sharedItems containsSemiMixedTypes="0" containsString="0" containsNumber="1" containsInteger="1" minValue="10" maxValue="1998"/>
    </cacheField>
    <cacheField name="Total Cost" numFmtId="0">
      <sharedItems containsSemiMixedTypes="0" containsString="0" containsNumber="1" containsInteger="1" minValue="396" maxValue="937024"/>
    </cacheField>
    <cacheField name="Shipping Method" numFmtId="0">
      <sharedItems count="3">
        <s v="Sea"/>
        <s v="Air"/>
        <s v="Land"/>
      </sharedItems>
    </cacheField>
    <cacheField name="Shipping Status" numFmtId="0">
      <sharedItems count="3">
        <s v="Delayed"/>
        <s v="Delivered"/>
        <s v="Shipped"/>
      </sharedItems>
    </cacheField>
    <cacheField name="Delivery Date" numFmtId="14">
      <sharedItems containsDate="1" containsMixedTypes="1" minDate="2025-01-09T00:00:00" maxDate="2026-02-09T00:00:00"/>
    </cacheField>
    <cacheField name="Lead Time" numFmtId="0">
      <sharedItems containsMixedTypes="1" containsNumber="1" containsInteger="1" minValue="5" maxValue="15"/>
    </cacheField>
    <cacheField name="Average_Unit_Cost" numFmtId="0" formula="'Total Cost'/Quantity" databaseField="0"/>
  </cacheFields>
  <extLst>
    <ext xmlns:x14="http://schemas.microsoft.com/office/spreadsheetml/2009/9/main" uri="{725AE2AE-9491-48be-B2B4-4EB974FC3084}">
      <x14:pivotCacheDefinition pivotCacheId="2073391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d v="2025-05-31T00:00:00"/>
    <x v="0"/>
    <x v="0"/>
    <n v="216"/>
    <n v="964"/>
    <n v="208224"/>
    <x v="0"/>
    <x v="0"/>
    <s v=""/>
    <s v=""/>
  </r>
  <r>
    <x v="1"/>
    <d v="2025-12-12T00:00:00"/>
    <x v="1"/>
    <x v="1"/>
    <n v="15"/>
    <n v="1288"/>
    <n v="19320"/>
    <x v="1"/>
    <x v="0"/>
    <s v=""/>
    <s v=""/>
  </r>
  <r>
    <x v="2"/>
    <d v="2025-04-04T00:00:00"/>
    <x v="2"/>
    <x v="2"/>
    <n v="161"/>
    <n v="1277"/>
    <n v="205597"/>
    <x v="1"/>
    <x v="1"/>
    <d v="2025-04-11T00:00:00"/>
    <n v="7"/>
  </r>
  <r>
    <x v="3"/>
    <d v="2025-01-14T00:00:00"/>
    <x v="1"/>
    <x v="3"/>
    <n v="114"/>
    <n v="1720"/>
    <n v="196080"/>
    <x v="1"/>
    <x v="0"/>
    <s v=""/>
    <s v=""/>
  </r>
  <r>
    <x v="4"/>
    <d v="2025-05-20T00:00:00"/>
    <x v="2"/>
    <x v="4"/>
    <n v="169"/>
    <n v="1902"/>
    <n v="321438"/>
    <x v="1"/>
    <x v="0"/>
    <s v=""/>
    <s v=""/>
  </r>
  <r>
    <x v="5"/>
    <d v="2025-01-29T00:00:00"/>
    <x v="1"/>
    <x v="5"/>
    <n v="486"/>
    <n v="625"/>
    <n v="303750"/>
    <x v="1"/>
    <x v="2"/>
    <s v=""/>
    <s v=""/>
  </r>
  <r>
    <x v="6"/>
    <d v="2025-04-21T00:00:00"/>
    <x v="3"/>
    <x v="0"/>
    <n v="57"/>
    <n v="194"/>
    <n v="11058"/>
    <x v="1"/>
    <x v="0"/>
    <s v=""/>
    <s v=""/>
  </r>
  <r>
    <x v="7"/>
    <d v="2025-05-10T00:00:00"/>
    <x v="2"/>
    <x v="0"/>
    <n v="483"/>
    <n v="336"/>
    <n v="162288"/>
    <x v="0"/>
    <x v="2"/>
    <s v=""/>
    <s v=""/>
  </r>
  <r>
    <x v="8"/>
    <d v="2025-09-11T00:00:00"/>
    <x v="4"/>
    <x v="0"/>
    <n v="402"/>
    <n v="955"/>
    <n v="383910"/>
    <x v="2"/>
    <x v="1"/>
    <d v="2025-09-21T00:00:00"/>
    <n v="10"/>
  </r>
  <r>
    <x v="9"/>
    <d v="2025-01-01T00:00:00"/>
    <x v="1"/>
    <x v="3"/>
    <n v="267"/>
    <n v="786"/>
    <n v="209862"/>
    <x v="2"/>
    <x v="0"/>
    <s v=""/>
    <s v=""/>
  </r>
  <r>
    <x v="10"/>
    <d v="2025-01-01T00:00:00"/>
    <x v="4"/>
    <x v="6"/>
    <n v="228"/>
    <n v="1714"/>
    <n v="390792"/>
    <x v="1"/>
    <x v="0"/>
    <s v=""/>
    <s v=""/>
  </r>
  <r>
    <x v="11"/>
    <d v="2025-08-10T00:00:00"/>
    <x v="0"/>
    <x v="5"/>
    <n v="484"/>
    <n v="881"/>
    <n v="426404"/>
    <x v="2"/>
    <x v="1"/>
    <d v="2025-08-18T00:00:00"/>
    <n v="8"/>
  </r>
  <r>
    <x v="12"/>
    <d v="2025-01-13T00:00:00"/>
    <x v="3"/>
    <x v="5"/>
    <n v="95"/>
    <n v="893"/>
    <n v="84835"/>
    <x v="0"/>
    <x v="0"/>
    <s v=""/>
    <s v=""/>
  </r>
  <r>
    <x v="13"/>
    <d v="2025-03-09T00:00:00"/>
    <x v="3"/>
    <x v="7"/>
    <n v="300"/>
    <n v="1120"/>
    <n v="336000"/>
    <x v="1"/>
    <x v="0"/>
    <s v=""/>
    <s v=""/>
  </r>
  <r>
    <x v="14"/>
    <d v="2025-01-26T00:00:00"/>
    <x v="0"/>
    <x v="0"/>
    <n v="454"/>
    <n v="537"/>
    <n v="243798"/>
    <x v="0"/>
    <x v="1"/>
    <d v="2025-02-04T00:00:00"/>
    <n v="9"/>
  </r>
  <r>
    <x v="15"/>
    <d v="2026-01-03T00:00:00"/>
    <x v="1"/>
    <x v="4"/>
    <n v="184"/>
    <n v="80"/>
    <n v="14720"/>
    <x v="0"/>
    <x v="0"/>
    <s v=""/>
    <s v=""/>
  </r>
  <r>
    <x v="16"/>
    <d v="2025-03-08T00:00:00"/>
    <x v="3"/>
    <x v="7"/>
    <n v="381"/>
    <n v="378"/>
    <n v="144018"/>
    <x v="1"/>
    <x v="2"/>
    <s v=""/>
    <s v=""/>
  </r>
  <r>
    <x v="17"/>
    <d v="2025-12-28T00:00:00"/>
    <x v="0"/>
    <x v="0"/>
    <n v="308"/>
    <n v="1240"/>
    <n v="381920"/>
    <x v="0"/>
    <x v="0"/>
    <s v=""/>
    <s v=""/>
  </r>
  <r>
    <x v="18"/>
    <d v="2025-12-24T00:00:00"/>
    <x v="0"/>
    <x v="8"/>
    <n v="367"/>
    <n v="403"/>
    <n v="147901"/>
    <x v="0"/>
    <x v="1"/>
    <d v="2026-01-04T00:00:00"/>
    <n v="11"/>
  </r>
  <r>
    <x v="19"/>
    <d v="2025-12-12T00:00:00"/>
    <x v="1"/>
    <x v="0"/>
    <n v="164"/>
    <n v="785"/>
    <n v="128740"/>
    <x v="1"/>
    <x v="1"/>
    <d v="2025-12-18T00:00:00"/>
    <n v="6"/>
  </r>
  <r>
    <x v="20"/>
    <d v="2025-08-14T00:00:00"/>
    <x v="1"/>
    <x v="0"/>
    <n v="8"/>
    <n v="1506"/>
    <n v="12048"/>
    <x v="0"/>
    <x v="2"/>
    <s v=""/>
    <s v=""/>
  </r>
  <r>
    <x v="21"/>
    <d v="2025-08-17T00:00:00"/>
    <x v="2"/>
    <x v="7"/>
    <n v="356"/>
    <n v="1890"/>
    <n v="672840"/>
    <x v="1"/>
    <x v="0"/>
    <s v=""/>
    <s v=""/>
  </r>
  <r>
    <x v="22"/>
    <d v="2025-04-29T00:00:00"/>
    <x v="3"/>
    <x v="1"/>
    <n v="245"/>
    <n v="1306"/>
    <n v="319970"/>
    <x v="0"/>
    <x v="2"/>
    <s v=""/>
    <s v=""/>
  </r>
  <r>
    <x v="23"/>
    <d v="2025-05-27T00:00:00"/>
    <x v="1"/>
    <x v="4"/>
    <n v="150"/>
    <n v="1010"/>
    <n v="151500"/>
    <x v="1"/>
    <x v="1"/>
    <d v="2025-06-06T00:00:00"/>
    <n v="10"/>
  </r>
  <r>
    <x v="24"/>
    <d v="2025-01-08T00:00:00"/>
    <x v="0"/>
    <x v="2"/>
    <n v="11"/>
    <n v="236"/>
    <n v="2596"/>
    <x v="2"/>
    <x v="0"/>
    <s v=""/>
    <s v=""/>
  </r>
  <r>
    <x v="25"/>
    <d v="2025-10-07T00:00:00"/>
    <x v="0"/>
    <x v="1"/>
    <n v="99"/>
    <n v="1760"/>
    <n v="174240"/>
    <x v="1"/>
    <x v="0"/>
    <s v=""/>
    <s v=""/>
  </r>
  <r>
    <x v="26"/>
    <d v="2025-05-28T00:00:00"/>
    <x v="0"/>
    <x v="5"/>
    <n v="407"/>
    <n v="1567"/>
    <n v="637769"/>
    <x v="1"/>
    <x v="2"/>
    <s v=""/>
    <s v=""/>
  </r>
  <r>
    <x v="27"/>
    <d v="2025-03-15T00:00:00"/>
    <x v="2"/>
    <x v="0"/>
    <n v="366"/>
    <n v="380"/>
    <n v="139080"/>
    <x v="2"/>
    <x v="1"/>
    <d v="2025-03-24T00:00:00"/>
    <n v="9"/>
  </r>
  <r>
    <x v="28"/>
    <d v="2025-11-25T00:00:00"/>
    <x v="1"/>
    <x v="8"/>
    <n v="388"/>
    <n v="1341"/>
    <n v="520308"/>
    <x v="0"/>
    <x v="2"/>
    <s v=""/>
    <s v=""/>
  </r>
  <r>
    <x v="29"/>
    <d v="2025-02-06T00:00:00"/>
    <x v="2"/>
    <x v="8"/>
    <n v="350"/>
    <n v="140"/>
    <n v="49000"/>
    <x v="0"/>
    <x v="1"/>
    <d v="2025-02-15T00:00:00"/>
    <n v="9"/>
  </r>
  <r>
    <x v="30"/>
    <d v="2025-11-04T00:00:00"/>
    <x v="0"/>
    <x v="9"/>
    <n v="18"/>
    <n v="1387"/>
    <n v="24966"/>
    <x v="2"/>
    <x v="1"/>
    <d v="2025-11-13T00:00:00"/>
    <n v="9"/>
  </r>
  <r>
    <x v="31"/>
    <d v="2025-11-02T00:00:00"/>
    <x v="2"/>
    <x v="1"/>
    <n v="28"/>
    <n v="291"/>
    <n v="8148"/>
    <x v="0"/>
    <x v="2"/>
    <s v=""/>
    <s v=""/>
  </r>
  <r>
    <x v="32"/>
    <d v="2025-06-01T00:00:00"/>
    <x v="0"/>
    <x v="9"/>
    <n v="84"/>
    <n v="906"/>
    <n v="76104"/>
    <x v="0"/>
    <x v="2"/>
    <s v=""/>
    <s v=""/>
  </r>
  <r>
    <x v="33"/>
    <d v="2025-12-31T00:00:00"/>
    <x v="4"/>
    <x v="1"/>
    <n v="453"/>
    <n v="1518"/>
    <n v="687654"/>
    <x v="1"/>
    <x v="0"/>
    <s v=""/>
    <s v=""/>
  </r>
  <r>
    <x v="34"/>
    <d v="2025-08-18T00:00:00"/>
    <x v="2"/>
    <x v="4"/>
    <n v="441"/>
    <n v="1271"/>
    <n v="560511"/>
    <x v="1"/>
    <x v="0"/>
    <s v=""/>
    <s v=""/>
  </r>
  <r>
    <x v="35"/>
    <d v="2025-02-21T00:00:00"/>
    <x v="2"/>
    <x v="8"/>
    <n v="262"/>
    <n v="283"/>
    <n v="74146"/>
    <x v="0"/>
    <x v="2"/>
    <s v=""/>
    <s v=""/>
  </r>
  <r>
    <x v="36"/>
    <d v="2025-10-26T00:00:00"/>
    <x v="4"/>
    <x v="0"/>
    <n v="287"/>
    <n v="1697"/>
    <n v="487039"/>
    <x v="2"/>
    <x v="0"/>
    <s v=""/>
    <s v=""/>
  </r>
  <r>
    <x v="37"/>
    <d v="2025-08-03T00:00:00"/>
    <x v="0"/>
    <x v="8"/>
    <n v="92"/>
    <n v="919"/>
    <n v="84548"/>
    <x v="0"/>
    <x v="0"/>
    <s v=""/>
    <s v=""/>
  </r>
  <r>
    <x v="38"/>
    <d v="2025-05-23T00:00:00"/>
    <x v="1"/>
    <x v="3"/>
    <n v="28"/>
    <n v="1663"/>
    <n v="46564"/>
    <x v="0"/>
    <x v="2"/>
    <s v=""/>
    <s v=""/>
  </r>
  <r>
    <x v="39"/>
    <d v="2025-03-10T00:00:00"/>
    <x v="0"/>
    <x v="1"/>
    <n v="69"/>
    <n v="1415"/>
    <n v="97635"/>
    <x v="2"/>
    <x v="1"/>
    <d v="2025-03-19T00:00:00"/>
    <n v="9"/>
  </r>
  <r>
    <x v="40"/>
    <d v="2025-05-18T00:00:00"/>
    <x v="4"/>
    <x v="5"/>
    <n v="60"/>
    <n v="408"/>
    <n v="24480"/>
    <x v="1"/>
    <x v="0"/>
    <s v=""/>
    <s v=""/>
  </r>
  <r>
    <x v="41"/>
    <d v="2025-09-14T00:00:00"/>
    <x v="0"/>
    <x v="1"/>
    <n v="157"/>
    <n v="1267"/>
    <n v="198919"/>
    <x v="0"/>
    <x v="0"/>
    <s v=""/>
    <s v=""/>
  </r>
  <r>
    <x v="42"/>
    <d v="2025-01-03T00:00:00"/>
    <x v="0"/>
    <x v="0"/>
    <n v="204"/>
    <n v="1355"/>
    <n v="276420"/>
    <x v="0"/>
    <x v="0"/>
    <s v=""/>
    <s v=""/>
  </r>
  <r>
    <x v="43"/>
    <d v="2025-08-08T00:00:00"/>
    <x v="2"/>
    <x v="2"/>
    <n v="313"/>
    <n v="1585"/>
    <n v="496105"/>
    <x v="1"/>
    <x v="2"/>
    <s v=""/>
    <s v=""/>
  </r>
  <r>
    <x v="44"/>
    <d v="2025-08-23T00:00:00"/>
    <x v="1"/>
    <x v="4"/>
    <n v="277"/>
    <n v="688"/>
    <n v="190576"/>
    <x v="2"/>
    <x v="1"/>
    <d v="2025-09-03T00:00:00"/>
    <n v="11"/>
  </r>
  <r>
    <x v="45"/>
    <d v="2025-06-18T00:00:00"/>
    <x v="4"/>
    <x v="4"/>
    <n v="284"/>
    <n v="689"/>
    <n v="195676"/>
    <x v="2"/>
    <x v="0"/>
    <s v=""/>
    <s v=""/>
  </r>
  <r>
    <x v="46"/>
    <d v="2025-01-20T00:00:00"/>
    <x v="3"/>
    <x v="4"/>
    <n v="245"/>
    <n v="1017"/>
    <n v="249165"/>
    <x v="2"/>
    <x v="2"/>
    <s v=""/>
    <s v=""/>
  </r>
  <r>
    <x v="47"/>
    <d v="2025-11-14T00:00:00"/>
    <x v="2"/>
    <x v="7"/>
    <n v="256"/>
    <n v="494"/>
    <n v="126464"/>
    <x v="1"/>
    <x v="2"/>
    <s v=""/>
    <s v=""/>
  </r>
  <r>
    <x v="48"/>
    <d v="2025-02-03T00:00:00"/>
    <x v="1"/>
    <x v="1"/>
    <n v="278"/>
    <n v="1362"/>
    <n v="378636"/>
    <x v="0"/>
    <x v="0"/>
    <s v=""/>
    <s v=""/>
  </r>
  <r>
    <x v="49"/>
    <d v="2025-12-26T00:00:00"/>
    <x v="0"/>
    <x v="2"/>
    <n v="355"/>
    <n v="515"/>
    <n v="182825"/>
    <x v="1"/>
    <x v="0"/>
    <s v=""/>
    <s v=""/>
  </r>
  <r>
    <x v="50"/>
    <d v="2026-01-06T00:00:00"/>
    <x v="1"/>
    <x v="7"/>
    <n v="411"/>
    <n v="1055"/>
    <n v="433605"/>
    <x v="2"/>
    <x v="1"/>
    <d v="2026-01-18T00:00:00"/>
    <n v="12"/>
  </r>
  <r>
    <x v="51"/>
    <d v="2025-09-11T00:00:00"/>
    <x v="2"/>
    <x v="7"/>
    <n v="490"/>
    <n v="563"/>
    <n v="275870"/>
    <x v="1"/>
    <x v="0"/>
    <s v=""/>
    <s v=""/>
  </r>
  <r>
    <x v="52"/>
    <d v="2025-12-06T00:00:00"/>
    <x v="0"/>
    <x v="0"/>
    <n v="156"/>
    <n v="122"/>
    <n v="19032"/>
    <x v="1"/>
    <x v="2"/>
    <s v=""/>
    <s v=""/>
  </r>
  <r>
    <x v="53"/>
    <d v="2025-12-29T00:00:00"/>
    <x v="1"/>
    <x v="5"/>
    <n v="3"/>
    <n v="1348"/>
    <n v="4044"/>
    <x v="2"/>
    <x v="2"/>
    <s v=""/>
    <s v=""/>
  </r>
  <r>
    <x v="54"/>
    <d v="2025-11-16T00:00:00"/>
    <x v="4"/>
    <x v="2"/>
    <n v="308"/>
    <n v="492"/>
    <n v="151536"/>
    <x v="0"/>
    <x v="1"/>
    <d v="2025-11-25T00:00:00"/>
    <n v="9"/>
  </r>
  <r>
    <x v="55"/>
    <d v="2025-03-06T00:00:00"/>
    <x v="1"/>
    <x v="9"/>
    <n v="4"/>
    <n v="99"/>
    <n v="396"/>
    <x v="1"/>
    <x v="2"/>
    <s v=""/>
    <s v=""/>
  </r>
  <r>
    <x v="56"/>
    <d v="2025-08-26T00:00:00"/>
    <x v="0"/>
    <x v="5"/>
    <n v="436"/>
    <n v="1140"/>
    <n v="497040"/>
    <x v="1"/>
    <x v="2"/>
    <s v=""/>
    <s v=""/>
  </r>
  <r>
    <x v="57"/>
    <d v="2025-10-29T00:00:00"/>
    <x v="4"/>
    <x v="2"/>
    <n v="139"/>
    <n v="1053"/>
    <n v="146367"/>
    <x v="0"/>
    <x v="2"/>
    <s v=""/>
    <s v=""/>
  </r>
  <r>
    <x v="58"/>
    <d v="2025-02-24T00:00:00"/>
    <x v="4"/>
    <x v="0"/>
    <n v="281"/>
    <n v="1475"/>
    <n v="414475"/>
    <x v="0"/>
    <x v="2"/>
    <s v=""/>
    <s v=""/>
  </r>
  <r>
    <x v="59"/>
    <d v="2025-10-26T00:00:00"/>
    <x v="4"/>
    <x v="0"/>
    <n v="221"/>
    <n v="1845"/>
    <n v="407745"/>
    <x v="2"/>
    <x v="1"/>
    <d v="2025-11-06T00:00:00"/>
    <n v="11"/>
  </r>
  <r>
    <x v="60"/>
    <d v="2025-03-11T00:00:00"/>
    <x v="0"/>
    <x v="0"/>
    <n v="159"/>
    <n v="178"/>
    <n v="28302"/>
    <x v="0"/>
    <x v="2"/>
    <s v=""/>
    <s v=""/>
  </r>
  <r>
    <x v="61"/>
    <d v="2026-01-14T00:00:00"/>
    <x v="1"/>
    <x v="8"/>
    <n v="182"/>
    <n v="739"/>
    <n v="134498"/>
    <x v="1"/>
    <x v="2"/>
    <s v=""/>
    <s v=""/>
  </r>
  <r>
    <x v="62"/>
    <d v="2025-11-01T00:00:00"/>
    <x v="2"/>
    <x v="5"/>
    <n v="70"/>
    <n v="1858"/>
    <n v="130060"/>
    <x v="1"/>
    <x v="2"/>
    <s v=""/>
    <s v=""/>
  </r>
  <r>
    <x v="63"/>
    <d v="2025-08-26T00:00:00"/>
    <x v="0"/>
    <x v="3"/>
    <n v="206"/>
    <n v="1488"/>
    <n v="306528"/>
    <x v="2"/>
    <x v="1"/>
    <d v="2025-09-09T00:00:00"/>
    <n v="14"/>
  </r>
  <r>
    <x v="64"/>
    <d v="2025-11-19T00:00:00"/>
    <x v="2"/>
    <x v="8"/>
    <n v="223"/>
    <n v="396"/>
    <n v="88308"/>
    <x v="0"/>
    <x v="0"/>
    <s v=""/>
    <s v=""/>
  </r>
  <r>
    <x v="65"/>
    <d v="2025-10-04T00:00:00"/>
    <x v="0"/>
    <x v="5"/>
    <n v="160"/>
    <n v="163"/>
    <n v="26080"/>
    <x v="0"/>
    <x v="2"/>
    <s v=""/>
    <s v=""/>
  </r>
  <r>
    <x v="66"/>
    <d v="2025-11-06T00:00:00"/>
    <x v="2"/>
    <x v="2"/>
    <n v="393"/>
    <n v="1133"/>
    <n v="445269"/>
    <x v="1"/>
    <x v="2"/>
    <s v=""/>
    <s v=""/>
  </r>
  <r>
    <x v="67"/>
    <d v="2025-07-03T00:00:00"/>
    <x v="1"/>
    <x v="7"/>
    <n v="182"/>
    <n v="856"/>
    <n v="155792"/>
    <x v="1"/>
    <x v="2"/>
    <s v=""/>
    <s v=""/>
  </r>
  <r>
    <x v="68"/>
    <d v="2025-01-23T00:00:00"/>
    <x v="2"/>
    <x v="2"/>
    <n v="344"/>
    <n v="444"/>
    <n v="152736"/>
    <x v="0"/>
    <x v="0"/>
    <s v=""/>
    <s v=""/>
  </r>
  <r>
    <x v="69"/>
    <d v="2025-02-19T00:00:00"/>
    <x v="4"/>
    <x v="9"/>
    <n v="130"/>
    <n v="1450"/>
    <n v="188500"/>
    <x v="2"/>
    <x v="0"/>
    <s v=""/>
    <s v=""/>
  </r>
  <r>
    <x v="70"/>
    <d v="2025-03-25T00:00:00"/>
    <x v="1"/>
    <x v="5"/>
    <n v="476"/>
    <n v="457"/>
    <n v="217532"/>
    <x v="0"/>
    <x v="1"/>
    <d v="2025-04-01T00:00:00"/>
    <n v="7"/>
  </r>
  <r>
    <x v="71"/>
    <d v="2025-03-14T00:00:00"/>
    <x v="2"/>
    <x v="0"/>
    <n v="82"/>
    <n v="38"/>
    <n v="3116"/>
    <x v="1"/>
    <x v="2"/>
    <s v=""/>
    <s v=""/>
  </r>
  <r>
    <x v="72"/>
    <d v="2025-04-09T00:00:00"/>
    <x v="4"/>
    <x v="0"/>
    <n v="154"/>
    <n v="1184"/>
    <n v="182336"/>
    <x v="2"/>
    <x v="0"/>
    <s v=""/>
    <s v=""/>
  </r>
  <r>
    <x v="73"/>
    <d v="2025-11-21T00:00:00"/>
    <x v="2"/>
    <x v="5"/>
    <n v="335"/>
    <n v="905"/>
    <n v="303175"/>
    <x v="2"/>
    <x v="1"/>
    <d v="2025-12-04T00:00:00"/>
    <n v="13"/>
  </r>
  <r>
    <x v="74"/>
    <d v="2025-02-17T00:00:00"/>
    <x v="0"/>
    <x v="0"/>
    <n v="303"/>
    <n v="1037"/>
    <n v="314211"/>
    <x v="1"/>
    <x v="1"/>
    <d v="2025-03-02T00:00:00"/>
    <n v="13"/>
  </r>
  <r>
    <x v="75"/>
    <d v="2025-03-25T00:00:00"/>
    <x v="4"/>
    <x v="2"/>
    <n v="354"/>
    <n v="156"/>
    <n v="55224"/>
    <x v="1"/>
    <x v="2"/>
    <s v=""/>
    <s v=""/>
  </r>
  <r>
    <x v="76"/>
    <d v="2025-06-06T00:00:00"/>
    <x v="3"/>
    <x v="6"/>
    <n v="74"/>
    <n v="409"/>
    <n v="30266"/>
    <x v="0"/>
    <x v="0"/>
    <s v=""/>
    <s v=""/>
  </r>
  <r>
    <x v="77"/>
    <d v="2025-11-01T00:00:00"/>
    <x v="2"/>
    <x v="3"/>
    <n v="97"/>
    <n v="669"/>
    <n v="64893"/>
    <x v="2"/>
    <x v="0"/>
    <s v=""/>
    <s v=""/>
  </r>
  <r>
    <x v="78"/>
    <d v="2025-01-20T00:00:00"/>
    <x v="4"/>
    <x v="7"/>
    <n v="361"/>
    <n v="1470"/>
    <n v="530670"/>
    <x v="2"/>
    <x v="0"/>
    <s v=""/>
    <s v=""/>
  </r>
  <r>
    <x v="79"/>
    <d v="2025-07-21T00:00:00"/>
    <x v="4"/>
    <x v="3"/>
    <n v="197"/>
    <n v="1168"/>
    <n v="230096"/>
    <x v="0"/>
    <x v="0"/>
    <s v=""/>
    <s v=""/>
  </r>
  <r>
    <x v="80"/>
    <d v="2025-05-13T00:00:00"/>
    <x v="0"/>
    <x v="3"/>
    <n v="181"/>
    <n v="665"/>
    <n v="120365"/>
    <x v="1"/>
    <x v="1"/>
    <d v="2025-05-28T00:00:00"/>
    <n v="15"/>
  </r>
  <r>
    <x v="81"/>
    <d v="2025-01-14T00:00:00"/>
    <x v="0"/>
    <x v="3"/>
    <n v="124"/>
    <n v="1585"/>
    <n v="196540"/>
    <x v="2"/>
    <x v="0"/>
    <s v=""/>
    <s v=""/>
  </r>
  <r>
    <x v="82"/>
    <d v="2025-03-24T00:00:00"/>
    <x v="4"/>
    <x v="3"/>
    <n v="283"/>
    <n v="1463"/>
    <n v="414029"/>
    <x v="0"/>
    <x v="0"/>
    <s v=""/>
    <s v=""/>
  </r>
  <r>
    <x v="83"/>
    <d v="2025-02-16T00:00:00"/>
    <x v="2"/>
    <x v="9"/>
    <n v="44"/>
    <n v="811"/>
    <n v="35684"/>
    <x v="1"/>
    <x v="2"/>
    <s v=""/>
    <s v=""/>
  </r>
  <r>
    <x v="84"/>
    <d v="2025-04-22T00:00:00"/>
    <x v="2"/>
    <x v="1"/>
    <n v="108"/>
    <n v="1568"/>
    <n v="169344"/>
    <x v="1"/>
    <x v="0"/>
    <s v=""/>
    <s v=""/>
  </r>
  <r>
    <x v="85"/>
    <d v="2026-01-26T00:00:00"/>
    <x v="0"/>
    <x v="3"/>
    <n v="157"/>
    <n v="1899"/>
    <n v="298143"/>
    <x v="2"/>
    <x v="2"/>
    <s v=""/>
    <s v=""/>
  </r>
  <r>
    <x v="86"/>
    <d v="2025-06-02T00:00:00"/>
    <x v="1"/>
    <x v="8"/>
    <n v="85"/>
    <n v="62"/>
    <n v="5270"/>
    <x v="2"/>
    <x v="2"/>
    <s v=""/>
    <s v=""/>
  </r>
  <r>
    <x v="87"/>
    <d v="2025-09-16T00:00:00"/>
    <x v="4"/>
    <x v="6"/>
    <n v="157"/>
    <n v="1709"/>
    <n v="268313"/>
    <x v="1"/>
    <x v="2"/>
    <s v=""/>
    <s v=""/>
  </r>
  <r>
    <x v="88"/>
    <d v="2025-12-08T00:00:00"/>
    <x v="3"/>
    <x v="5"/>
    <n v="254"/>
    <n v="1260"/>
    <n v="320040"/>
    <x v="1"/>
    <x v="2"/>
    <s v=""/>
    <s v=""/>
  </r>
  <r>
    <x v="89"/>
    <d v="2025-04-21T00:00:00"/>
    <x v="3"/>
    <x v="7"/>
    <n v="365"/>
    <n v="1204"/>
    <n v="439460"/>
    <x v="1"/>
    <x v="0"/>
    <s v=""/>
    <s v=""/>
  </r>
  <r>
    <x v="90"/>
    <d v="2025-03-01T00:00:00"/>
    <x v="1"/>
    <x v="7"/>
    <n v="363"/>
    <n v="1496"/>
    <n v="543048"/>
    <x v="2"/>
    <x v="2"/>
    <s v=""/>
    <s v=""/>
  </r>
  <r>
    <x v="91"/>
    <d v="2025-10-08T00:00:00"/>
    <x v="3"/>
    <x v="2"/>
    <n v="119"/>
    <n v="50"/>
    <n v="5950"/>
    <x v="0"/>
    <x v="1"/>
    <d v="2025-10-13T00:00:00"/>
    <n v="5"/>
  </r>
  <r>
    <x v="92"/>
    <d v="2025-10-10T00:00:00"/>
    <x v="1"/>
    <x v="7"/>
    <n v="31"/>
    <n v="855"/>
    <n v="26505"/>
    <x v="0"/>
    <x v="1"/>
    <d v="2025-10-15T00:00:00"/>
    <n v="5"/>
  </r>
  <r>
    <x v="93"/>
    <d v="2025-11-10T00:00:00"/>
    <x v="4"/>
    <x v="1"/>
    <n v="344"/>
    <n v="929"/>
    <n v="319576"/>
    <x v="2"/>
    <x v="2"/>
    <s v=""/>
    <s v=""/>
  </r>
  <r>
    <x v="94"/>
    <d v="2025-10-29T00:00:00"/>
    <x v="1"/>
    <x v="2"/>
    <n v="70"/>
    <n v="378"/>
    <n v="26460"/>
    <x v="0"/>
    <x v="0"/>
    <s v=""/>
    <s v=""/>
  </r>
  <r>
    <x v="95"/>
    <d v="2025-02-23T00:00:00"/>
    <x v="4"/>
    <x v="9"/>
    <n v="125"/>
    <n v="158"/>
    <n v="19750"/>
    <x v="1"/>
    <x v="1"/>
    <d v="2025-03-09T00:00:00"/>
    <n v="14"/>
  </r>
  <r>
    <x v="96"/>
    <d v="2025-08-28T00:00:00"/>
    <x v="1"/>
    <x v="0"/>
    <n v="1"/>
    <n v="1427"/>
    <n v="1427"/>
    <x v="2"/>
    <x v="1"/>
    <d v="2025-09-06T00:00:00"/>
    <n v="9"/>
  </r>
  <r>
    <x v="97"/>
    <d v="2025-06-30T00:00:00"/>
    <x v="1"/>
    <x v="5"/>
    <n v="478"/>
    <n v="1030"/>
    <n v="492340"/>
    <x v="1"/>
    <x v="2"/>
    <s v=""/>
    <s v=""/>
  </r>
  <r>
    <x v="98"/>
    <d v="2025-05-07T00:00:00"/>
    <x v="1"/>
    <x v="3"/>
    <n v="328"/>
    <n v="1337"/>
    <n v="438536"/>
    <x v="1"/>
    <x v="1"/>
    <d v="2025-05-18T00:00:00"/>
    <n v="11"/>
  </r>
  <r>
    <x v="99"/>
    <d v="2026-01-18T00:00:00"/>
    <x v="0"/>
    <x v="0"/>
    <n v="198"/>
    <n v="1153"/>
    <n v="228294"/>
    <x v="2"/>
    <x v="1"/>
    <d v="2026-01-25T00:00:00"/>
    <n v="7"/>
  </r>
  <r>
    <x v="100"/>
    <d v="2025-11-09T00:00:00"/>
    <x v="0"/>
    <x v="3"/>
    <n v="472"/>
    <n v="79"/>
    <n v="37288"/>
    <x v="2"/>
    <x v="1"/>
    <d v="2025-11-19T00:00:00"/>
    <n v="10"/>
  </r>
  <r>
    <x v="101"/>
    <d v="2025-07-09T00:00:00"/>
    <x v="3"/>
    <x v="7"/>
    <n v="58"/>
    <n v="128"/>
    <n v="7424"/>
    <x v="0"/>
    <x v="1"/>
    <d v="2025-07-16T00:00:00"/>
    <n v="7"/>
  </r>
  <r>
    <x v="102"/>
    <d v="2025-03-23T00:00:00"/>
    <x v="0"/>
    <x v="4"/>
    <n v="181"/>
    <n v="419"/>
    <n v="75839"/>
    <x v="0"/>
    <x v="1"/>
    <d v="2025-04-03T00:00:00"/>
    <n v="11"/>
  </r>
  <r>
    <x v="103"/>
    <d v="2025-01-05T00:00:00"/>
    <x v="4"/>
    <x v="8"/>
    <n v="11"/>
    <n v="183"/>
    <n v="2013"/>
    <x v="1"/>
    <x v="1"/>
    <d v="2025-01-17T00:00:00"/>
    <n v="12"/>
  </r>
  <r>
    <x v="104"/>
    <d v="2025-08-11T00:00:00"/>
    <x v="0"/>
    <x v="6"/>
    <n v="211"/>
    <n v="1587"/>
    <n v="334857"/>
    <x v="2"/>
    <x v="2"/>
    <s v=""/>
    <s v=""/>
  </r>
  <r>
    <x v="105"/>
    <d v="2026-01-02T00:00:00"/>
    <x v="3"/>
    <x v="7"/>
    <n v="92"/>
    <n v="661"/>
    <n v="60812"/>
    <x v="0"/>
    <x v="0"/>
    <s v=""/>
    <s v=""/>
  </r>
  <r>
    <x v="106"/>
    <d v="2025-10-03T00:00:00"/>
    <x v="0"/>
    <x v="9"/>
    <n v="116"/>
    <n v="96"/>
    <n v="11136"/>
    <x v="1"/>
    <x v="2"/>
    <s v=""/>
    <s v=""/>
  </r>
  <r>
    <x v="107"/>
    <d v="2025-10-30T00:00:00"/>
    <x v="4"/>
    <x v="0"/>
    <n v="214"/>
    <n v="1501"/>
    <n v="321214"/>
    <x v="2"/>
    <x v="2"/>
    <s v=""/>
    <s v=""/>
  </r>
  <r>
    <x v="108"/>
    <d v="2025-12-25T00:00:00"/>
    <x v="2"/>
    <x v="5"/>
    <n v="15"/>
    <n v="1160"/>
    <n v="17400"/>
    <x v="0"/>
    <x v="2"/>
    <s v=""/>
    <s v=""/>
  </r>
  <r>
    <x v="109"/>
    <d v="2025-01-10T00:00:00"/>
    <x v="3"/>
    <x v="7"/>
    <n v="62"/>
    <n v="993"/>
    <n v="61566"/>
    <x v="0"/>
    <x v="2"/>
    <s v=""/>
    <s v=""/>
  </r>
  <r>
    <x v="110"/>
    <d v="2025-08-05T00:00:00"/>
    <x v="2"/>
    <x v="3"/>
    <n v="345"/>
    <n v="844"/>
    <n v="291180"/>
    <x v="0"/>
    <x v="0"/>
    <s v=""/>
    <s v=""/>
  </r>
  <r>
    <x v="111"/>
    <d v="2025-12-27T00:00:00"/>
    <x v="2"/>
    <x v="2"/>
    <n v="454"/>
    <n v="855"/>
    <n v="388170"/>
    <x v="1"/>
    <x v="2"/>
    <s v=""/>
    <s v=""/>
  </r>
  <r>
    <x v="112"/>
    <d v="2026-01-21T00:00:00"/>
    <x v="4"/>
    <x v="0"/>
    <n v="399"/>
    <n v="418"/>
    <n v="166782"/>
    <x v="1"/>
    <x v="2"/>
    <s v=""/>
    <s v=""/>
  </r>
  <r>
    <x v="113"/>
    <d v="2026-01-13T00:00:00"/>
    <x v="1"/>
    <x v="1"/>
    <n v="420"/>
    <n v="1361"/>
    <n v="571620"/>
    <x v="0"/>
    <x v="2"/>
    <s v=""/>
    <s v=""/>
  </r>
  <r>
    <x v="114"/>
    <d v="2025-12-17T00:00:00"/>
    <x v="3"/>
    <x v="5"/>
    <n v="408"/>
    <n v="300"/>
    <n v="122400"/>
    <x v="0"/>
    <x v="2"/>
    <s v=""/>
    <s v=""/>
  </r>
  <r>
    <x v="115"/>
    <d v="2025-04-16T00:00:00"/>
    <x v="0"/>
    <x v="2"/>
    <n v="202"/>
    <n v="504"/>
    <n v="101808"/>
    <x v="2"/>
    <x v="0"/>
    <s v=""/>
    <s v=""/>
  </r>
  <r>
    <x v="116"/>
    <d v="2025-07-21T00:00:00"/>
    <x v="0"/>
    <x v="3"/>
    <n v="166"/>
    <n v="1133"/>
    <n v="188078"/>
    <x v="0"/>
    <x v="1"/>
    <d v="2025-07-28T00:00:00"/>
    <n v="7"/>
  </r>
  <r>
    <x v="117"/>
    <d v="2025-01-23T00:00:00"/>
    <x v="3"/>
    <x v="5"/>
    <n v="219"/>
    <n v="1358"/>
    <n v="297402"/>
    <x v="0"/>
    <x v="2"/>
    <s v=""/>
    <s v=""/>
  </r>
  <r>
    <x v="118"/>
    <d v="2025-05-08T00:00:00"/>
    <x v="2"/>
    <x v="5"/>
    <n v="155"/>
    <n v="86"/>
    <n v="13330"/>
    <x v="2"/>
    <x v="1"/>
    <d v="2025-05-15T00:00:00"/>
    <n v="7"/>
  </r>
  <r>
    <x v="119"/>
    <d v="2026-01-22T00:00:00"/>
    <x v="3"/>
    <x v="8"/>
    <n v="359"/>
    <n v="1972"/>
    <n v="707948"/>
    <x v="2"/>
    <x v="2"/>
    <s v=""/>
    <s v=""/>
  </r>
  <r>
    <x v="120"/>
    <d v="2025-04-13T00:00:00"/>
    <x v="0"/>
    <x v="3"/>
    <n v="448"/>
    <n v="1094"/>
    <n v="490112"/>
    <x v="0"/>
    <x v="1"/>
    <d v="2025-04-22T00:00:00"/>
    <n v="9"/>
  </r>
  <r>
    <x v="121"/>
    <d v="2025-12-16T00:00:00"/>
    <x v="1"/>
    <x v="9"/>
    <n v="305"/>
    <n v="932"/>
    <n v="284260"/>
    <x v="0"/>
    <x v="0"/>
    <s v=""/>
    <s v=""/>
  </r>
  <r>
    <x v="122"/>
    <d v="2025-06-27T00:00:00"/>
    <x v="1"/>
    <x v="3"/>
    <n v="339"/>
    <n v="1470"/>
    <n v="498330"/>
    <x v="1"/>
    <x v="0"/>
    <s v=""/>
    <s v=""/>
  </r>
  <r>
    <x v="123"/>
    <d v="2025-11-23T00:00:00"/>
    <x v="3"/>
    <x v="0"/>
    <n v="345"/>
    <n v="119"/>
    <n v="41055"/>
    <x v="0"/>
    <x v="1"/>
    <d v="2025-12-08T00:00:00"/>
    <n v="15"/>
  </r>
  <r>
    <x v="124"/>
    <d v="2025-06-27T00:00:00"/>
    <x v="4"/>
    <x v="9"/>
    <n v="174"/>
    <n v="457"/>
    <n v="79518"/>
    <x v="0"/>
    <x v="1"/>
    <d v="2025-07-02T00:00:00"/>
    <n v="5"/>
  </r>
  <r>
    <x v="125"/>
    <d v="2025-01-10T00:00:00"/>
    <x v="1"/>
    <x v="2"/>
    <n v="30"/>
    <n v="233"/>
    <n v="6990"/>
    <x v="0"/>
    <x v="2"/>
    <s v=""/>
    <s v=""/>
  </r>
  <r>
    <x v="126"/>
    <d v="2025-09-20T00:00:00"/>
    <x v="3"/>
    <x v="7"/>
    <n v="105"/>
    <n v="470"/>
    <n v="49350"/>
    <x v="2"/>
    <x v="0"/>
    <s v=""/>
    <s v=""/>
  </r>
  <r>
    <x v="127"/>
    <d v="2025-07-23T00:00:00"/>
    <x v="3"/>
    <x v="8"/>
    <n v="393"/>
    <n v="1138"/>
    <n v="447234"/>
    <x v="0"/>
    <x v="0"/>
    <s v=""/>
    <s v=""/>
  </r>
  <r>
    <x v="128"/>
    <d v="2026-01-26T00:00:00"/>
    <x v="3"/>
    <x v="0"/>
    <n v="130"/>
    <n v="1961"/>
    <n v="254930"/>
    <x v="2"/>
    <x v="2"/>
    <s v=""/>
    <s v=""/>
  </r>
  <r>
    <x v="129"/>
    <d v="2025-02-09T00:00:00"/>
    <x v="1"/>
    <x v="9"/>
    <n v="44"/>
    <n v="1183"/>
    <n v="52052"/>
    <x v="1"/>
    <x v="0"/>
    <s v=""/>
    <s v=""/>
  </r>
  <r>
    <x v="130"/>
    <d v="2025-08-31T00:00:00"/>
    <x v="3"/>
    <x v="7"/>
    <n v="123"/>
    <n v="1847"/>
    <n v="227181"/>
    <x v="1"/>
    <x v="2"/>
    <s v=""/>
    <s v=""/>
  </r>
  <r>
    <x v="131"/>
    <d v="2026-01-18T00:00:00"/>
    <x v="0"/>
    <x v="6"/>
    <n v="487"/>
    <n v="302"/>
    <n v="147074"/>
    <x v="2"/>
    <x v="0"/>
    <s v=""/>
    <s v=""/>
  </r>
  <r>
    <x v="132"/>
    <d v="2025-02-10T00:00:00"/>
    <x v="1"/>
    <x v="7"/>
    <n v="466"/>
    <n v="1921"/>
    <n v="895186"/>
    <x v="2"/>
    <x v="1"/>
    <d v="2025-02-20T00:00:00"/>
    <n v="10"/>
  </r>
  <r>
    <x v="133"/>
    <d v="2025-04-25T00:00:00"/>
    <x v="4"/>
    <x v="4"/>
    <n v="369"/>
    <n v="1757"/>
    <n v="648333"/>
    <x v="2"/>
    <x v="0"/>
    <s v=""/>
    <s v=""/>
  </r>
  <r>
    <x v="134"/>
    <d v="2025-07-12T00:00:00"/>
    <x v="2"/>
    <x v="3"/>
    <n v="452"/>
    <n v="1001"/>
    <n v="452452"/>
    <x v="2"/>
    <x v="2"/>
    <s v=""/>
    <s v=""/>
  </r>
  <r>
    <x v="135"/>
    <d v="2025-11-12T00:00:00"/>
    <x v="0"/>
    <x v="3"/>
    <n v="404"/>
    <n v="223"/>
    <n v="90092"/>
    <x v="2"/>
    <x v="0"/>
    <s v=""/>
    <s v=""/>
  </r>
  <r>
    <x v="136"/>
    <d v="2025-01-10T00:00:00"/>
    <x v="2"/>
    <x v="2"/>
    <n v="353"/>
    <n v="1693"/>
    <n v="597629"/>
    <x v="1"/>
    <x v="1"/>
    <d v="2025-01-25T00:00:00"/>
    <n v="15"/>
  </r>
  <r>
    <x v="137"/>
    <d v="2025-01-10T00:00:00"/>
    <x v="0"/>
    <x v="8"/>
    <n v="68"/>
    <n v="1448"/>
    <n v="98464"/>
    <x v="2"/>
    <x v="1"/>
    <d v="2025-01-24T00:00:00"/>
    <n v="14"/>
  </r>
  <r>
    <x v="138"/>
    <d v="2025-12-24T00:00:00"/>
    <x v="2"/>
    <x v="0"/>
    <n v="229"/>
    <n v="1118"/>
    <n v="256022"/>
    <x v="2"/>
    <x v="1"/>
    <d v="2026-01-08T00:00:00"/>
    <n v="15"/>
  </r>
  <r>
    <x v="139"/>
    <d v="2025-06-27T00:00:00"/>
    <x v="4"/>
    <x v="2"/>
    <n v="225"/>
    <n v="1752"/>
    <n v="394200"/>
    <x v="2"/>
    <x v="0"/>
    <s v=""/>
    <s v=""/>
  </r>
  <r>
    <x v="140"/>
    <d v="2025-08-23T00:00:00"/>
    <x v="0"/>
    <x v="6"/>
    <n v="98"/>
    <n v="76"/>
    <n v="7448"/>
    <x v="0"/>
    <x v="1"/>
    <d v="2025-08-31T00:00:00"/>
    <n v="8"/>
  </r>
  <r>
    <x v="141"/>
    <d v="2025-05-20T00:00:00"/>
    <x v="1"/>
    <x v="6"/>
    <n v="470"/>
    <n v="671"/>
    <n v="315370"/>
    <x v="2"/>
    <x v="2"/>
    <s v=""/>
    <s v=""/>
  </r>
  <r>
    <x v="142"/>
    <d v="2025-01-25T00:00:00"/>
    <x v="2"/>
    <x v="0"/>
    <n v="120"/>
    <n v="1473"/>
    <n v="176760"/>
    <x v="1"/>
    <x v="0"/>
    <s v=""/>
    <s v=""/>
  </r>
  <r>
    <x v="143"/>
    <d v="2025-05-30T00:00:00"/>
    <x v="3"/>
    <x v="2"/>
    <n v="157"/>
    <n v="1187"/>
    <n v="186359"/>
    <x v="2"/>
    <x v="1"/>
    <d v="2025-06-13T00:00:00"/>
    <n v="14"/>
  </r>
  <r>
    <x v="144"/>
    <d v="2025-06-02T00:00:00"/>
    <x v="3"/>
    <x v="5"/>
    <n v="364"/>
    <n v="1353"/>
    <n v="492492"/>
    <x v="1"/>
    <x v="2"/>
    <s v=""/>
    <s v=""/>
  </r>
  <r>
    <x v="145"/>
    <d v="2025-01-26T00:00:00"/>
    <x v="4"/>
    <x v="8"/>
    <n v="32"/>
    <n v="1867"/>
    <n v="59744"/>
    <x v="1"/>
    <x v="0"/>
    <s v=""/>
    <s v=""/>
  </r>
  <r>
    <x v="146"/>
    <d v="2025-03-02T00:00:00"/>
    <x v="4"/>
    <x v="3"/>
    <n v="339"/>
    <n v="548"/>
    <n v="185772"/>
    <x v="1"/>
    <x v="1"/>
    <d v="2025-03-12T00:00:00"/>
    <n v="10"/>
  </r>
  <r>
    <x v="147"/>
    <d v="2025-03-31T00:00:00"/>
    <x v="2"/>
    <x v="2"/>
    <n v="72"/>
    <n v="1400"/>
    <n v="100800"/>
    <x v="2"/>
    <x v="2"/>
    <s v=""/>
    <s v=""/>
  </r>
  <r>
    <x v="148"/>
    <d v="2026-01-06T00:00:00"/>
    <x v="0"/>
    <x v="4"/>
    <n v="42"/>
    <n v="1180"/>
    <n v="49560"/>
    <x v="1"/>
    <x v="2"/>
    <s v=""/>
    <s v=""/>
  </r>
  <r>
    <x v="149"/>
    <d v="2025-08-01T00:00:00"/>
    <x v="0"/>
    <x v="2"/>
    <n v="40"/>
    <n v="619"/>
    <n v="24760"/>
    <x v="1"/>
    <x v="0"/>
    <s v=""/>
    <s v=""/>
  </r>
  <r>
    <x v="150"/>
    <d v="2025-07-24T00:00:00"/>
    <x v="3"/>
    <x v="0"/>
    <n v="362"/>
    <n v="831"/>
    <n v="300822"/>
    <x v="1"/>
    <x v="1"/>
    <d v="2025-07-31T00:00:00"/>
    <n v="7"/>
  </r>
  <r>
    <x v="151"/>
    <d v="2025-01-30T00:00:00"/>
    <x v="1"/>
    <x v="3"/>
    <n v="241"/>
    <n v="1091"/>
    <n v="262931"/>
    <x v="0"/>
    <x v="1"/>
    <d v="2025-02-14T00:00:00"/>
    <n v="15"/>
  </r>
  <r>
    <x v="152"/>
    <d v="2025-06-23T00:00:00"/>
    <x v="3"/>
    <x v="9"/>
    <n v="476"/>
    <n v="1255"/>
    <n v="597380"/>
    <x v="0"/>
    <x v="0"/>
    <s v=""/>
    <s v=""/>
  </r>
  <r>
    <x v="153"/>
    <d v="2025-05-07T00:00:00"/>
    <x v="3"/>
    <x v="0"/>
    <n v="475"/>
    <n v="1677"/>
    <n v="796575"/>
    <x v="1"/>
    <x v="2"/>
    <s v=""/>
    <s v=""/>
  </r>
  <r>
    <x v="154"/>
    <d v="2025-01-10T00:00:00"/>
    <x v="0"/>
    <x v="6"/>
    <n v="364"/>
    <n v="689"/>
    <n v="250796"/>
    <x v="1"/>
    <x v="0"/>
    <s v=""/>
    <s v=""/>
  </r>
  <r>
    <x v="155"/>
    <d v="2025-10-10T00:00:00"/>
    <x v="2"/>
    <x v="1"/>
    <n v="77"/>
    <n v="1980"/>
    <n v="152460"/>
    <x v="0"/>
    <x v="2"/>
    <s v=""/>
    <s v=""/>
  </r>
  <r>
    <x v="156"/>
    <d v="2026-01-18T00:00:00"/>
    <x v="1"/>
    <x v="9"/>
    <n v="261"/>
    <n v="1830"/>
    <n v="477630"/>
    <x v="2"/>
    <x v="0"/>
    <s v=""/>
    <s v=""/>
  </r>
  <r>
    <x v="157"/>
    <d v="2025-07-26T00:00:00"/>
    <x v="2"/>
    <x v="6"/>
    <n v="326"/>
    <n v="28"/>
    <n v="9128"/>
    <x v="1"/>
    <x v="1"/>
    <d v="2025-08-01T00:00:00"/>
    <n v="6"/>
  </r>
  <r>
    <x v="158"/>
    <d v="2025-08-30T00:00:00"/>
    <x v="0"/>
    <x v="5"/>
    <n v="389"/>
    <n v="652"/>
    <n v="253628"/>
    <x v="1"/>
    <x v="1"/>
    <d v="2025-09-08T00:00:00"/>
    <n v="9"/>
  </r>
  <r>
    <x v="159"/>
    <d v="2025-12-21T00:00:00"/>
    <x v="2"/>
    <x v="8"/>
    <n v="487"/>
    <n v="308"/>
    <n v="149996"/>
    <x v="1"/>
    <x v="0"/>
    <s v=""/>
    <s v=""/>
  </r>
  <r>
    <x v="160"/>
    <d v="2025-07-27T00:00:00"/>
    <x v="3"/>
    <x v="1"/>
    <n v="32"/>
    <n v="1900"/>
    <n v="60800"/>
    <x v="1"/>
    <x v="1"/>
    <d v="2025-08-02T00:00:00"/>
    <n v="6"/>
  </r>
  <r>
    <x v="161"/>
    <d v="2025-02-08T00:00:00"/>
    <x v="4"/>
    <x v="9"/>
    <n v="329"/>
    <n v="273"/>
    <n v="89817"/>
    <x v="2"/>
    <x v="1"/>
    <d v="2025-02-20T00:00:00"/>
    <n v="12"/>
  </r>
  <r>
    <x v="162"/>
    <d v="2025-09-23T00:00:00"/>
    <x v="2"/>
    <x v="0"/>
    <n v="47"/>
    <n v="727"/>
    <n v="34169"/>
    <x v="1"/>
    <x v="1"/>
    <d v="2025-09-30T00:00:00"/>
    <n v="7"/>
  </r>
  <r>
    <x v="163"/>
    <d v="2025-09-03T00:00:00"/>
    <x v="3"/>
    <x v="7"/>
    <n v="470"/>
    <n v="1956"/>
    <n v="919320"/>
    <x v="0"/>
    <x v="2"/>
    <s v=""/>
    <s v=""/>
  </r>
  <r>
    <x v="164"/>
    <d v="2026-01-01T00:00:00"/>
    <x v="0"/>
    <x v="7"/>
    <n v="43"/>
    <n v="262"/>
    <n v="11266"/>
    <x v="1"/>
    <x v="0"/>
    <s v=""/>
    <s v=""/>
  </r>
  <r>
    <x v="165"/>
    <d v="2025-03-06T00:00:00"/>
    <x v="0"/>
    <x v="6"/>
    <n v="124"/>
    <n v="206"/>
    <n v="25544"/>
    <x v="0"/>
    <x v="1"/>
    <d v="2025-03-12T00:00:00"/>
    <n v="6"/>
  </r>
  <r>
    <x v="166"/>
    <d v="2025-07-17T00:00:00"/>
    <x v="0"/>
    <x v="1"/>
    <n v="123"/>
    <n v="1497"/>
    <n v="184131"/>
    <x v="0"/>
    <x v="2"/>
    <s v=""/>
    <s v=""/>
  </r>
  <r>
    <x v="167"/>
    <d v="2025-11-09T00:00:00"/>
    <x v="3"/>
    <x v="4"/>
    <n v="300"/>
    <n v="1093"/>
    <n v="327900"/>
    <x v="1"/>
    <x v="2"/>
    <s v=""/>
    <s v=""/>
  </r>
  <r>
    <x v="168"/>
    <d v="2025-05-17T00:00:00"/>
    <x v="1"/>
    <x v="5"/>
    <n v="358"/>
    <n v="1764"/>
    <n v="631512"/>
    <x v="1"/>
    <x v="2"/>
    <s v=""/>
    <s v=""/>
  </r>
  <r>
    <x v="169"/>
    <d v="2025-12-05T00:00:00"/>
    <x v="2"/>
    <x v="6"/>
    <n v="460"/>
    <n v="1820"/>
    <n v="837200"/>
    <x v="0"/>
    <x v="1"/>
    <d v="2025-12-18T00:00:00"/>
    <n v="13"/>
  </r>
  <r>
    <x v="170"/>
    <d v="2025-10-01T00:00:00"/>
    <x v="3"/>
    <x v="2"/>
    <n v="54"/>
    <n v="1177"/>
    <n v="63558"/>
    <x v="1"/>
    <x v="0"/>
    <s v=""/>
    <s v=""/>
  </r>
  <r>
    <x v="171"/>
    <d v="2026-01-03T00:00:00"/>
    <x v="0"/>
    <x v="1"/>
    <n v="136"/>
    <n v="1401"/>
    <n v="190536"/>
    <x v="0"/>
    <x v="1"/>
    <d v="2026-01-13T00:00:00"/>
    <n v="10"/>
  </r>
  <r>
    <x v="172"/>
    <d v="2025-10-18T00:00:00"/>
    <x v="3"/>
    <x v="5"/>
    <n v="290"/>
    <n v="1122"/>
    <n v="325380"/>
    <x v="0"/>
    <x v="0"/>
    <s v=""/>
    <s v=""/>
  </r>
  <r>
    <x v="173"/>
    <d v="2025-05-06T00:00:00"/>
    <x v="4"/>
    <x v="8"/>
    <n v="260"/>
    <n v="1955"/>
    <n v="508300"/>
    <x v="1"/>
    <x v="2"/>
    <s v=""/>
    <s v=""/>
  </r>
  <r>
    <x v="174"/>
    <d v="2025-07-01T00:00:00"/>
    <x v="3"/>
    <x v="8"/>
    <n v="59"/>
    <n v="817"/>
    <n v="48203"/>
    <x v="1"/>
    <x v="1"/>
    <d v="2025-07-09T00:00:00"/>
    <n v="8"/>
  </r>
  <r>
    <x v="175"/>
    <d v="2025-02-11T00:00:00"/>
    <x v="3"/>
    <x v="5"/>
    <n v="256"/>
    <n v="1000"/>
    <n v="256000"/>
    <x v="0"/>
    <x v="0"/>
    <s v=""/>
    <s v=""/>
  </r>
  <r>
    <x v="176"/>
    <d v="2025-10-01T00:00:00"/>
    <x v="0"/>
    <x v="4"/>
    <n v="196"/>
    <n v="729"/>
    <n v="142884"/>
    <x v="2"/>
    <x v="0"/>
    <s v=""/>
    <s v=""/>
  </r>
  <r>
    <x v="177"/>
    <d v="2025-09-18T00:00:00"/>
    <x v="1"/>
    <x v="4"/>
    <n v="331"/>
    <n v="1699"/>
    <n v="562369"/>
    <x v="0"/>
    <x v="0"/>
    <s v=""/>
    <s v=""/>
  </r>
  <r>
    <x v="178"/>
    <d v="2026-01-17T00:00:00"/>
    <x v="0"/>
    <x v="8"/>
    <n v="247"/>
    <n v="588"/>
    <n v="145236"/>
    <x v="0"/>
    <x v="2"/>
    <s v=""/>
    <s v=""/>
  </r>
  <r>
    <x v="179"/>
    <d v="2025-07-06T00:00:00"/>
    <x v="3"/>
    <x v="9"/>
    <n v="74"/>
    <n v="168"/>
    <n v="12432"/>
    <x v="1"/>
    <x v="2"/>
    <s v=""/>
    <s v=""/>
  </r>
  <r>
    <x v="180"/>
    <d v="2025-11-15T00:00:00"/>
    <x v="0"/>
    <x v="0"/>
    <n v="440"/>
    <n v="1798"/>
    <n v="791120"/>
    <x v="1"/>
    <x v="1"/>
    <d v="2025-11-23T00:00:00"/>
    <n v="8"/>
  </r>
  <r>
    <x v="181"/>
    <d v="2025-08-24T00:00:00"/>
    <x v="3"/>
    <x v="6"/>
    <n v="26"/>
    <n v="1157"/>
    <n v="30082"/>
    <x v="1"/>
    <x v="2"/>
    <s v=""/>
    <s v=""/>
  </r>
  <r>
    <x v="182"/>
    <d v="2025-01-22T00:00:00"/>
    <x v="4"/>
    <x v="7"/>
    <n v="123"/>
    <n v="1370"/>
    <n v="168510"/>
    <x v="2"/>
    <x v="2"/>
    <s v=""/>
    <s v=""/>
  </r>
  <r>
    <x v="183"/>
    <d v="2025-08-11T00:00:00"/>
    <x v="3"/>
    <x v="9"/>
    <n v="70"/>
    <n v="1490"/>
    <n v="104300"/>
    <x v="1"/>
    <x v="2"/>
    <s v=""/>
    <s v=""/>
  </r>
  <r>
    <x v="184"/>
    <d v="2025-12-22T00:00:00"/>
    <x v="3"/>
    <x v="7"/>
    <n v="171"/>
    <n v="770"/>
    <n v="131670"/>
    <x v="1"/>
    <x v="2"/>
    <s v=""/>
    <s v=""/>
  </r>
  <r>
    <x v="185"/>
    <d v="2025-08-05T00:00:00"/>
    <x v="1"/>
    <x v="6"/>
    <n v="465"/>
    <n v="56"/>
    <n v="26040"/>
    <x v="1"/>
    <x v="0"/>
    <s v=""/>
    <s v=""/>
  </r>
  <r>
    <x v="186"/>
    <d v="2025-03-24T00:00:00"/>
    <x v="2"/>
    <x v="3"/>
    <n v="261"/>
    <n v="1092"/>
    <n v="285012"/>
    <x v="2"/>
    <x v="2"/>
    <s v=""/>
    <s v=""/>
  </r>
  <r>
    <x v="187"/>
    <d v="2025-09-23T00:00:00"/>
    <x v="4"/>
    <x v="3"/>
    <n v="486"/>
    <n v="811"/>
    <n v="394146"/>
    <x v="1"/>
    <x v="0"/>
    <s v=""/>
    <s v=""/>
  </r>
  <r>
    <x v="188"/>
    <d v="2025-09-03T00:00:00"/>
    <x v="0"/>
    <x v="9"/>
    <n v="107"/>
    <n v="1205"/>
    <n v="128935"/>
    <x v="1"/>
    <x v="2"/>
    <s v=""/>
    <s v=""/>
  </r>
  <r>
    <x v="189"/>
    <d v="2025-02-07T00:00:00"/>
    <x v="0"/>
    <x v="5"/>
    <n v="352"/>
    <n v="178"/>
    <n v="62656"/>
    <x v="0"/>
    <x v="0"/>
    <s v=""/>
    <s v=""/>
  </r>
  <r>
    <x v="190"/>
    <d v="2025-09-21T00:00:00"/>
    <x v="1"/>
    <x v="1"/>
    <n v="298"/>
    <n v="1804"/>
    <n v="537592"/>
    <x v="2"/>
    <x v="1"/>
    <d v="2025-09-29T00:00:00"/>
    <n v="8"/>
  </r>
  <r>
    <x v="191"/>
    <d v="2025-10-01T00:00:00"/>
    <x v="2"/>
    <x v="5"/>
    <n v="100"/>
    <n v="162"/>
    <n v="16200"/>
    <x v="0"/>
    <x v="0"/>
    <s v=""/>
    <s v=""/>
  </r>
  <r>
    <x v="192"/>
    <d v="2026-01-21T00:00:00"/>
    <x v="3"/>
    <x v="9"/>
    <n v="96"/>
    <n v="187"/>
    <n v="17952"/>
    <x v="1"/>
    <x v="0"/>
    <s v=""/>
    <s v=""/>
  </r>
  <r>
    <x v="193"/>
    <d v="2025-11-25T00:00:00"/>
    <x v="0"/>
    <x v="1"/>
    <n v="482"/>
    <n v="670"/>
    <n v="322940"/>
    <x v="0"/>
    <x v="0"/>
    <s v=""/>
    <s v=""/>
  </r>
  <r>
    <x v="194"/>
    <d v="2025-09-18T00:00:00"/>
    <x v="3"/>
    <x v="0"/>
    <n v="238"/>
    <n v="1269"/>
    <n v="302022"/>
    <x v="2"/>
    <x v="2"/>
    <s v=""/>
    <s v=""/>
  </r>
  <r>
    <x v="195"/>
    <d v="2025-05-21T00:00:00"/>
    <x v="2"/>
    <x v="8"/>
    <n v="260"/>
    <n v="1109"/>
    <n v="288340"/>
    <x v="2"/>
    <x v="1"/>
    <d v="2025-06-05T00:00:00"/>
    <n v="15"/>
  </r>
  <r>
    <x v="196"/>
    <d v="2025-07-29T00:00:00"/>
    <x v="2"/>
    <x v="8"/>
    <n v="8"/>
    <n v="1725"/>
    <n v="13800"/>
    <x v="1"/>
    <x v="2"/>
    <s v=""/>
    <s v=""/>
  </r>
  <r>
    <x v="197"/>
    <d v="2025-07-29T00:00:00"/>
    <x v="2"/>
    <x v="9"/>
    <n v="80"/>
    <n v="1262"/>
    <n v="100960"/>
    <x v="2"/>
    <x v="1"/>
    <d v="2025-08-13T00:00:00"/>
    <n v="15"/>
  </r>
  <r>
    <x v="198"/>
    <d v="2026-01-16T00:00:00"/>
    <x v="4"/>
    <x v="8"/>
    <n v="327"/>
    <n v="1272"/>
    <n v="415944"/>
    <x v="0"/>
    <x v="1"/>
    <d v="2026-01-29T00:00:00"/>
    <n v="13"/>
  </r>
  <r>
    <x v="199"/>
    <d v="2025-03-17T00:00:00"/>
    <x v="2"/>
    <x v="1"/>
    <n v="206"/>
    <n v="1123"/>
    <n v="231338"/>
    <x v="2"/>
    <x v="0"/>
    <s v=""/>
    <s v=""/>
  </r>
  <r>
    <x v="200"/>
    <d v="2025-02-27T00:00:00"/>
    <x v="0"/>
    <x v="3"/>
    <n v="349"/>
    <n v="1020"/>
    <n v="355980"/>
    <x v="2"/>
    <x v="1"/>
    <d v="2025-03-13T00:00:00"/>
    <n v="14"/>
  </r>
  <r>
    <x v="201"/>
    <d v="2025-06-29T00:00:00"/>
    <x v="1"/>
    <x v="1"/>
    <n v="151"/>
    <n v="1786"/>
    <n v="269686"/>
    <x v="2"/>
    <x v="1"/>
    <d v="2025-07-13T00:00:00"/>
    <n v="14"/>
  </r>
  <r>
    <x v="202"/>
    <d v="2025-04-25T00:00:00"/>
    <x v="3"/>
    <x v="0"/>
    <n v="314"/>
    <n v="1693"/>
    <n v="531602"/>
    <x v="2"/>
    <x v="2"/>
    <s v=""/>
    <s v=""/>
  </r>
  <r>
    <x v="203"/>
    <d v="2025-10-12T00:00:00"/>
    <x v="2"/>
    <x v="7"/>
    <n v="61"/>
    <n v="678"/>
    <n v="41358"/>
    <x v="1"/>
    <x v="2"/>
    <s v=""/>
    <s v=""/>
  </r>
  <r>
    <x v="204"/>
    <d v="2025-03-18T00:00:00"/>
    <x v="4"/>
    <x v="9"/>
    <n v="86"/>
    <n v="1973"/>
    <n v="169678"/>
    <x v="0"/>
    <x v="0"/>
    <s v=""/>
    <s v=""/>
  </r>
  <r>
    <x v="205"/>
    <d v="2025-06-06T00:00:00"/>
    <x v="1"/>
    <x v="7"/>
    <n v="406"/>
    <n v="1344"/>
    <n v="545664"/>
    <x v="0"/>
    <x v="2"/>
    <s v=""/>
    <s v=""/>
  </r>
  <r>
    <x v="206"/>
    <d v="2025-09-13T00:00:00"/>
    <x v="4"/>
    <x v="7"/>
    <n v="316"/>
    <n v="27"/>
    <n v="8532"/>
    <x v="0"/>
    <x v="1"/>
    <d v="2025-09-19T00:00:00"/>
    <n v="6"/>
  </r>
  <r>
    <x v="207"/>
    <d v="2025-08-30T00:00:00"/>
    <x v="1"/>
    <x v="4"/>
    <n v="196"/>
    <n v="1806"/>
    <n v="353976"/>
    <x v="0"/>
    <x v="0"/>
    <s v=""/>
    <s v=""/>
  </r>
  <r>
    <x v="208"/>
    <d v="2026-01-14T00:00:00"/>
    <x v="3"/>
    <x v="4"/>
    <n v="169"/>
    <n v="551"/>
    <n v="93119"/>
    <x v="0"/>
    <x v="1"/>
    <d v="2026-01-24T00:00:00"/>
    <n v="10"/>
  </r>
  <r>
    <x v="209"/>
    <d v="2026-01-27T00:00:00"/>
    <x v="3"/>
    <x v="0"/>
    <n v="105"/>
    <n v="1224"/>
    <n v="128520"/>
    <x v="0"/>
    <x v="0"/>
    <s v=""/>
    <s v=""/>
  </r>
  <r>
    <x v="210"/>
    <d v="2025-09-27T00:00:00"/>
    <x v="4"/>
    <x v="6"/>
    <n v="195"/>
    <n v="1954"/>
    <n v="381030"/>
    <x v="2"/>
    <x v="1"/>
    <d v="2025-10-09T00:00:00"/>
    <n v="12"/>
  </r>
  <r>
    <x v="211"/>
    <d v="2025-08-07T00:00:00"/>
    <x v="0"/>
    <x v="8"/>
    <n v="313"/>
    <n v="192"/>
    <n v="60096"/>
    <x v="2"/>
    <x v="1"/>
    <d v="2025-08-19T00:00:00"/>
    <n v="12"/>
  </r>
  <r>
    <x v="212"/>
    <d v="2025-12-07T00:00:00"/>
    <x v="4"/>
    <x v="0"/>
    <n v="94"/>
    <n v="896"/>
    <n v="84224"/>
    <x v="2"/>
    <x v="1"/>
    <d v="2025-12-13T00:00:00"/>
    <n v="6"/>
  </r>
  <r>
    <x v="213"/>
    <d v="2025-09-23T00:00:00"/>
    <x v="1"/>
    <x v="5"/>
    <n v="18"/>
    <n v="207"/>
    <n v="3726"/>
    <x v="2"/>
    <x v="0"/>
    <s v=""/>
    <s v=""/>
  </r>
  <r>
    <x v="214"/>
    <d v="2025-11-21T00:00:00"/>
    <x v="3"/>
    <x v="6"/>
    <n v="465"/>
    <n v="1269"/>
    <n v="590085"/>
    <x v="0"/>
    <x v="1"/>
    <d v="2025-12-03T00:00:00"/>
    <n v="12"/>
  </r>
  <r>
    <x v="215"/>
    <d v="2025-01-11T00:00:00"/>
    <x v="4"/>
    <x v="0"/>
    <n v="264"/>
    <n v="269"/>
    <n v="71016"/>
    <x v="1"/>
    <x v="2"/>
    <s v=""/>
    <s v=""/>
  </r>
  <r>
    <x v="216"/>
    <d v="2025-01-11T00:00:00"/>
    <x v="3"/>
    <x v="0"/>
    <n v="315"/>
    <n v="411"/>
    <n v="129465"/>
    <x v="1"/>
    <x v="1"/>
    <d v="2025-01-18T00:00:00"/>
    <n v="7"/>
  </r>
  <r>
    <x v="217"/>
    <d v="2025-04-20T00:00:00"/>
    <x v="0"/>
    <x v="3"/>
    <n v="163"/>
    <n v="1218"/>
    <n v="198534"/>
    <x v="0"/>
    <x v="2"/>
    <s v=""/>
    <s v=""/>
  </r>
  <r>
    <x v="218"/>
    <d v="2025-01-03T00:00:00"/>
    <x v="1"/>
    <x v="4"/>
    <n v="73"/>
    <n v="882"/>
    <n v="64386"/>
    <x v="2"/>
    <x v="0"/>
    <s v=""/>
    <s v=""/>
  </r>
  <r>
    <x v="219"/>
    <d v="2025-07-15T00:00:00"/>
    <x v="2"/>
    <x v="9"/>
    <n v="451"/>
    <n v="1453"/>
    <n v="655303"/>
    <x v="0"/>
    <x v="2"/>
    <s v=""/>
    <s v=""/>
  </r>
  <r>
    <x v="220"/>
    <d v="2026-01-06T00:00:00"/>
    <x v="0"/>
    <x v="0"/>
    <n v="371"/>
    <n v="1367"/>
    <n v="507157"/>
    <x v="1"/>
    <x v="2"/>
    <s v=""/>
    <s v=""/>
  </r>
  <r>
    <x v="221"/>
    <d v="2025-04-05T00:00:00"/>
    <x v="3"/>
    <x v="3"/>
    <n v="342"/>
    <n v="948"/>
    <n v="324216"/>
    <x v="2"/>
    <x v="2"/>
    <s v=""/>
    <s v=""/>
  </r>
  <r>
    <x v="222"/>
    <d v="2025-11-02T00:00:00"/>
    <x v="3"/>
    <x v="7"/>
    <n v="335"/>
    <n v="715"/>
    <n v="239525"/>
    <x v="0"/>
    <x v="2"/>
    <s v=""/>
    <s v=""/>
  </r>
  <r>
    <x v="223"/>
    <d v="2025-11-16T00:00:00"/>
    <x v="1"/>
    <x v="9"/>
    <n v="328"/>
    <n v="1459"/>
    <n v="478552"/>
    <x v="1"/>
    <x v="1"/>
    <d v="2025-11-23T00:00:00"/>
    <n v="7"/>
  </r>
  <r>
    <x v="224"/>
    <d v="2026-01-10T00:00:00"/>
    <x v="4"/>
    <x v="6"/>
    <n v="420"/>
    <n v="1876"/>
    <n v="787920"/>
    <x v="1"/>
    <x v="2"/>
    <s v=""/>
    <s v=""/>
  </r>
  <r>
    <x v="225"/>
    <d v="2025-11-25T00:00:00"/>
    <x v="2"/>
    <x v="6"/>
    <n v="45"/>
    <n v="47"/>
    <n v="2115"/>
    <x v="2"/>
    <x v="1"/>
    <d v="2025-12-04T00:00:00"/>
    <n v="9"/>
  </r>
  <r>
    <x v="226"/>
    <d v="2025-12-11T00:00:00"/>
    <x v="4"/>
    <x v="8"/>
    <n v="436"/>
    <n v="1077"/>
    <n v="469572"/>
    <x v="0"/>
    <x v="0"/>
    <s v=""/>
    <s v=""/>
  </r>
  <r>
    <x v="227"/>
    <d v="2025-12-20T00:00:00"/>
    <x v="2"/>
    <x v="9"/>
    <n v="327"/>
    <n v="1820"/>
    <n v="595140"/>
    <x v="0"/>
    <x v="2"/>
    <s v=""/>
    <s v=""/>
  </r>
  <r>
    <x v="228"/>
    <d v="2025-09-26T00:00:00"/>
    <x v="1"/>
    <x v="2"/>
    <n v="393"/>
    <n v="745"/>
    <n v="292785"/>
    <x v="0"/>
    <x v="0"/>
    <s v=""/>
    <s v=""/>
  </r>
  <r>
    <x v="229"/>
    <d v="2025-05-25T00:00:00"/>
    <x v="1"/>
    <x v="6"/>
    <n v="333"/>
    <n v="857"/>
    <n v="285381"/>
    <x v="1"/>
    <x v="1"/>
    <d v="2025-06-07T00:00:00"/>
    <n v="13"/>
  </r>
  <r>
    <x v="230"/>
    <d v="2025-02-06T00:00:00"/>
    <x v="4"/>
    <x v="6"/>
    <n v="365"/>
    <n v="1237"/>
    <n v="451505"/>
    <x v="2"/>
    <x v="0"/>
    <s v=""/>
    <s v=""/>
  </r>
  <r>
    <x v="231"/>
    <d v="2025-01-24T00:00:00"/>
    <x v="0"/>
    <x v="0"/>
    <n v="210"/>
    <n v="402"/>
    <n v="84420"/>
    <x v="1"/>
    <x v="0"/>
    <s v=""/>
    <s v=""/>
  </r>
  <r>
    <x v="232"/>
    <d v="2025-04-09T00:00:00"/>
    <x v="2"/>
    <x v="6"/>
    <n v="173"/>
    <n v="564"/>
    <n v="97572"/>
    <x v="1"/>
    <x v="0"/>
    <s v=""/>
    <s v=""/>
  </r>
  <r>
    <x v="233"/>
    <d v="2025-06-22T00:00:00"/>
    <x v="0"/>
    <x v="3"/>
    <n v="17"/>
    <n v="401"/>
    <n v="6817"/>
    <x v="0"/>
    <x v="1"/>
    <d v="2025-06-28T00:00:00"/>
    <n v="6"/>
  </r>
  <r>
    <x v="234"/>
    <d v="2025-07-31T00:00:00"/>
    <x v="4"/>
    <x v="7"/>
    <n v="297"/>
    <n v="1937"/>
    <n v="575289"/>
    <x v="0"/>
    <x v="1"/>
    <d v="2025-08-15T00:00:00"/>
    <n v="15"/>
  </r>
  <r>
    <x v="235"/>
    <d v="2025-12-11T00:00:00"/>
    <x v="2"/>
    <x v="4"/>
    <n v="119"/>
    <n v="1820"/>
    <n v="216580"/>
    <x v="1"/>
    <x v="1"/>
    <d v="2025-12-23T00:00:00"/>
    <n v="12"/>
  </r>
  <r>
    <x v="236"/>
    <d v="2025-11-01T00:00:00"/>
    <x v="3"/>
    <x v="5"/>
    <n v="150"/>
    <n v="93"/>
    <n v="13950"/>
    <x v="1"/>
    <x v="2"/>
    <s v=""/>
    <s v=""/>
  </r>
  <r>
    <x v="237"/>
    <d v="2025-05-11T00:00:00"/>
    <x v="3"/>
    <x v="6"/>
    <n v="227"/>
    <n v="1334"/>
    <n v="302818"/>
    <x v="0"/>
    <x v="0"/>
    <s v=""/>
    <s v=""/>
  </r>
  <r>
    <x v="238"/>
    <d v="2025-12-09T00:00:00"/>
    <x v="4"/>
    <x v="6"/>
    <n v="125"/>
    <n v="1195"/>
    <n v="149375"/>
    <x v="1"/>
    <x v="0"/>
    <s v=""/>
    <s v=""/>
  </r>
  <r>
    <x v="239"/>
    <d v="2025-11-23T00:00:00"/>
    <x v="4"/>
    <x v="5"/>
    <n v="321"/>
    <n v="534"/>
    <n v="171414"/>
    <x v="2"/>
    <x v="0"/>
    <s v=""/>
    <s v=""/>
  </r>
  <r>
    <x v="240"/>
    <d v="2025-10-03T00:00:00"/>
    <x v="1"/>
    <x v="9"/>
    <n v="397"/>
    <n v="596"/>
    <n v="236612"/>
    <x v="0"/>
    <x v="0"/>
    <s v=""/>
    <s v=""/>
  </r>
  <r>
    <x v="241"/>
    <d v="2025-06-21T00:00:00"/>
    <x v="0"/>
    <x v="1"/>
    <n v="318"/>
    <n v="1134"/>
    <n v="360612"/>
    <x v="1"/>
    <x v="2"/>
    <s v=""/>
    <s v=""/>
  </r>
  <r>
    <x v="242"/>
    <d v="2025-05-10T00:00:00"/>
    <x v="2"/>
    <x v="0"/>
    <n v="177"/>
    <n v="865"/>
    <n v="153105"/>
    <x v="0"/>
    <x v="2"/>
    <s v=""/>
    <s v=""/>
  </r>
  <r>
    <x v="243"/>
    <d v="2026-01-14T00:00:00"/>
    <x v="2"/>
    <x v="9"/>
    <n v="17"/>
    <n v="1843"/>
    <n v="31331"/>
    <x v="2"/>
    <x v="1"/>
    <d v="2026-01-29T00:00:00"/>
    <n v="15"/>
  </r>
  <r>
    <x v="244"/>
    <d v="2025-09-13T00:00:00"/>
    <x v="0"/>
    <x v="2"/>
    <n v="34"/>
    <n v="308"/>
    <n v="10472"/>
    <x v="0"/>
    <x v="2"/>
    <s v=""/>
    <s v=""/>
  </r>
  <r>
    <x v="245"/>
    <d v="2025-12-15T00:00:00"/>
    <x v="1"/>
    <x v="6"/>
    <n v="153"/>
    <n v="1736"/>
    <n v="265608"/>
    <x v="0"/>
    <x v="1"/>
    <d v="2025-12-22T00:00:00"/>
    <n v="7"/>
  </r>
  <r>
    <x v="246"/>
    <d v="2025-05-30T00:00:00"/>
    <x v="4"/>
    <x v="9"/>
    <n v="426"/>
    <n v="946"/>
    <n v="402996"/>
    <x v="2"/>
    <x v="1"/>
    <d v="2025-06-12T00:00:00"/>
    <n v="13"/>
  </r>
  <r>
    <x v="247"/>
    <d v="2025-09-05T00:00:00"/>
    <x v="1"/>
    <x v="9"/>
    <n v="170"/>
    <n v="888"/>
    <n v="150960"/>
    <x v="2"/>
    <x v="2"/>
    <s v=""/>
    <s v=""/>
  </r>
  <r>
    <x v="248"/>
    <d v="2025-01-20T00:00:00"/>
    <x v="4"/>
    <x v="4"/>
    <n v="285"/>
    <n v="1022"/>
    <n v="291270"/>
    <x v="2"/>
    <x v="2"/>
    <s v=""/>
    <s v=""/>
  </r>
  <r>
    <x v="249"/>
    <d v="2025-07-06T00:00:00"/>
    <x v="3"/>
    <x v="0"/>
    <n v="156"/>
    <n v="424"/>
    <n v="66144"/>
    <x v="0"/>
    <x v="0"/>
    <s v=""/>
    <s v=""/>
  </r>
  <r>
    <x v="250"/>
    <d v="2025-11-29T00:00:00"/>
    <x v="3"/>
    <x v="3"/>
    <n v="239"/>
    <n v="212"/>
    <n v="50668"/>
    <x v="2"/>
    <x v="2"/>
    <s v=""/>
    <s v=""/>
  </r>
  <r>
    <x v="251"/>
    <d v="2025-11-18T00:00:00"/>
    <x v="3"/>
    <x v="8"/>
    <n v="407"/>
    <n v="705"/>
    <n v="286935"/>
    <x v="2"/>
    <x v="2"/>
    <s v=""/>
    <s v=""/>
  </r>
  <r>
    <x v="252"/>
    <d v="2025-07-22T00:00:00"/>
    <x v="3"/>
    <x v="2"/>
    <n v="184"/>
    <n v="727"/>
    <n v="133768"/>
    <x v="0"/>
    <x v="2"/>
    <s v=""/>
    <s v=""/>
  </r>
  <r>
    <x v="253"/>
    <d v="2025-03-16T00:00:00"/>
    <x v="2"/>
    <x v="2"/>
    <n v="448"/>
    <n v="634"/>
    <n v="284032"/>
    <x v="0"/>
    <x v="0"/>
    <s v=""/>
    <s v=""/>
  </r>
  <r>
    <x v="254"/>
    <d v="2026-01-13T00:00:00"/>
    <x v="2"/>
    <x v="3"/>
    <n v="286"/>
    <n v="111"/>
    <n v="31746"/>
    <x v="0"/>
    <x v="1"/>
    <d v="2026-01-24T00:00:00"/>
    <n v="11"/>
  </r>
  <r>
    <x v="255"/>
    <d v="2025-12-04T00:00:00"/>
    <x v="2"/>
    <x v="8"/>
    <n v="369"/>
    <n v="736"/>
    <n v="271584"/>
    <x v="2"/>
    <x v="1"/>
    <d v="2025-12-12T00:00:00"/>
    <n v="8"/>
  </r>
  <r>
    <x v="256"/>
    <d v="2025-11-19T00:00:00"/>
    <x v="3"/>
    <x v="5"/>
    <n v="106"/>
    <n v="1323"/>
    <n v="140238"/>
    <x v="1"/>
    <x v="2"/>
    <s v=""/>
    <s v=""/>
  </r>
  <r>
    <x v="257"/>
    <d v="2025-09-02T00:00:00"/>
    <x v="1"/>
    <x v="4"/>
    <n v="350"/>
    <n v="896"/>
    <n v="313600"/>
    <x v="1"/>
    <x v="0"/>
    <s v=""/>
    <s v=""/>
  </r>
  <r>
    <x v="258"/>
    <d v="2026-01-05T00:00:00"/>
    <x v="0"/>
    <x v="7"/>
    <n v="331"/>
    <n v="37"/>
    <n v="12247"/>
    <x v="1"/>
    <x v="1"/>
    <d v="2026-01-12T00:00:00"/>
    <n v="7"/>
  </r>
  <r>
    <x v="259"/>
    <d v="2025-07-03T00:00:00"/>
    <x v="0"/>
    <x v="2"/>
    <n v="351"/>
    <n v="964"/>
    <n v="338364"/>
    <x v="1"/>
    <x v="0"/>
    <s v=""/>
    <s v=""/>
  </r>
  <r>
    <x v="260"/>
    <d v="2025-04-29T00:00:00"/>
    <x v="0"/>
    <x v="9"/>
    <n v="442"/>
    <n v="603"/>
    <n v="266526"/>
    <x v="0"/>
    <x v="0"/>
    <s v=""/>
    <s v=""/>
  </r>
  <r>
    <x v="261"/>
    <d v="2025-03-11T00:00:00"/>
    <x v="4"/>
    <x v="7"/>
    <n v="404"/>
    <n v="1770"/>
    <n v="715080"/>
    <x v="2"/>
    <x v="1"/>
    <d v="2025-03-25T00:00:00"/>
    <n v="14"/>
  </r>
  <r>
    <x v="262"/>
    <d v="2025-01-17T00:00:00"/>
    <x v="4"/>
    <x v="7"/>
    <n v="170"/>
    <n v="1004"/>
    <n v="170680"/>
    <x v="0"/>
    <x v="1"/>
    <d v="2025-01-23T00:00:00"/>
    <n v="6"/>
  </r>
  <r>
    <x v="263"/>
    <d v="2025-09-23T00:00:00"/>
    <x v="0"/>
    <x v="5"/>
    <n v="306"/>
    <n v="1985"/>
    <n v="607410"/>
    <x v="2"/>
    <x v="0"/>
    <s v=""/>
    <s v=""/>
  </r>
  <r>
    <x v="264"/>
    <d v="2025-01-30T00:00:00"/>
    <x v="4"/>
    <x v="2"/>
    <n v="114"/>
    <n v="1939"/>
    <n v="221046"/>
    <x v="2"/>
    <x v="2"/>
    <s v=""/>
    <s v=""/>
  </r>
  <r>
    <x v="265"/>
    <d v="2025-09-12T00:00:00"/>
    <x v="1"/>
    <x v="5"/>
    <n v="407"/>
    <n v="1549"/>
    <n v="630443"/>
    <x v="0"/>
    <x v="1"/>
    <d v="2025-09-26T00:00:00"/>
    <n v="14"/>
  </r>
  <r>
    <x v="266"/>
    <d v="2026-01-02T00:00:00"/>
    <x v="0"/>
    <x v="2"/>
    <n v="413"/>
    <n v="691"/>
    <n v="285383"/>
    <x v="2"/>
    <x v="2"/>
    <s v=""/>
    <s v=""/>
  </r>
  <r>
    <x v="267"/>
    <d v="2025-09-16T00:00:00"/>
    <x v="0"/>
    <x v="0"/>
    <n v="264"/>
    <n v="1643"/>
    <n v="433752"/>
    <x v="2"/>
    <x v="2"/>
    <s v=""/>
    <s v=""/>
  </r>
  <r>
    <x v="268"/>
    <d v="2026-01-14T00:00:00"/>
    <x v="3"/>
    <x v="7"/>
    <n v="471"/>
    <n v="1836"/>
    <n v="864756"/>
    <x v="1"/>
    <x v="0"/>
    <s v=""/>
    <s v=""/>
  </r>
  <r>
    <x v="269"/>
    <d v="2025-09-29T00:00:00"/>
    <x v="0"/>
    <x v="8"/>
    <n v="481"/>
    <n v="606"/>
    <n v="291486"/>
    <x v="2"/>
    <x v="1"/>
    <d v="2025-10-05T00:00:00"/>
    <n v="6"/>
  </r>
  <r>
    <x v="270"/>
    <d v="2025-05-16T00:00:00"/>
    <x v="0"/>
    <x v="2"/>
    <n v="437"/>
    <n v="1988"/>
    <n v="868756"/>
    <x v="2"/>
    <x v="1"/>
    <d v="2025-05-31T00:00:00"/>
    <n v="15"/>
  </r>
  <r>
    <x v="271"/>
    <d v="2026-01-06T00:00:00"/>
    <x v="0"/>
    <x v="9"/>
    <n v="392"/>
    <n v="1137"/>
    <n v="445704"/>
    <x v="2"/>
    <x v="2"/>
    <s v=""/>
    <s v=""/>
  </r>
  <r>
    <x v="272"/>
    <d v="2025-06-10T00:00:00"/>
    <x v="1"/>
    <x v="4"/>
    <n v="495"/>
    <n v="1280"/>
    <n v="633600"/>
    <x v="1"/>
    <x v="2"/>
    <s v=""/>
    <s v=""/>
  </r>
  <r>
    <x v="273"/>
    <d v="2025-08-15T00:00:00"/>
    <x v="0"/>
    <x v="5"/>
    <n v="362"/>
    <n v="1941"/>
    <n v="702642"/>
    <x v="1"/>
    <x v="2"/>
    <s v=""/>
    <s v=""/>
  </r>
  <r>
    <x v="274"/>
    <d v="2025-05-26T00:00:00"/>
    <x v="3"/>
    <x v="1"/>
    <n v="28"/>
    <n v="292"/>
    <n v="8176"/>
    <x v="1"/>
    <x v="2"/>
    <s v=""/>
    <s v=""/>
  </r>
  <r>
    <x v="275"/>
    <d v="2025-01-23T00:00:00"/>
    <x v="2"/>
    <x v="8"/>
    <n v="370"/>
    <n v="864"/>
    <n v="319680"/>
    <x v="1"/>
    <x v="2"/>
    <s v=""/>
    <s v=""/>
  </r>
  <r>
    <x v="276"/>
    <d v="2025-09-09T00:00:00"/>
    <x v="3"/>
    <x v="2"/>
    <n v="202"/>
    <n v="1419"/>
    <n v="286638"/>
    <x v="0"/>
    <x v="0"/>
    <s v=""/>
    <s v=""/>
  </r>
  <r>
    <x v="277"/>
    <d v="2025-06-11T00:00:00"/>
    <x v="3"/>
    <x v="7"/>
    <n v="337"/>
    <n v="1043"/>
    <n v="351491"/>
    <x v="1"/>
    <x v="2"/>
    <s v=""/>
    <s v=""/>
  </r>
  <r>
    <x v="278"/>
    <d v="2025-09-29T00:00:00"/>
    <x v="2"/>
    <x v="6"/>
    <n v="102"/>
    <n v="753"/>
    <n v="76806"/>
    <x v="0"/>
    <x v="2"/>
    <s v=""/>
    <s v=""/>
  </r>
  <r>
    <x v="279"/>
    <d v="2025-01-15T00:00:00"/>
    <x v="1"/>
    <x v="0"/>
    <n v="185"/>
    <n v="1692"/>
    <n v="313020"/>
    <x v="0"/>
    <x v="2"/>
    <s v=""/>
    <s v=""/>
  </r>
  <r>
    <x v="280"/>
    <d v="2025-07-09T00:00:00"/>
    <x v="2"/>
    <x v="3"/>
    <n v="309"/>
    <n v="1328"/>
    <n v="410352"/>
    <x v="1"/>
    <x v="2"/>
    <s v=""/>
    <s v=""/>
  </r>
  <r>
    <x v="281"/>
    <d v="2025-08-18T00:00:00"/>
    <x v="1"/>
    <x v="5"/>
    <n v="438"/>
    <n v="178"/>
    <n v="77964"/>
    <x v="1"/>
    <x v="1"/>
    <d v="2025-08-28T00:00:00"/>
    <n v="10"/>
  </r>
  <r>
    <x v="282"/>
    <d v="2025-10-26T00:00:00"/>
    <x v="2"/>
    <x v="5"/>
    <n v="492"/>
    <n v="1865"/>
    <n v="917580"/>
    <x v="0"/>
    <x v="0"/>
    <s v=""/>
    <s v=""/>
  </r>
  <r>
    <x v="283"/>
    <d v="2025-11-13T00:00:00"/>
    <x v="4"/>
    <x v="1"/>
    <n v="278"/>
    <n v="460"/>
    <n v="127880"/>
    <x v="1"/>
    <x v="1"/>
    <d v="2025-11-19T00:00:00"/>
    <n v="6"/>
  </r>
  <r>
    <x v="284"/>
    <d v="2025-08-23T00:00:00"/>
    <x v="2"/>
    <x v="6"/>
    <n v="206"/>
    <n v="853"/>
    <n v="175718"/>
    <x v="1"/>
    <x v="0"/>
    <s v=""/>
    <s v=""/>
  </r>
  <r>
    <x v="285"/>
    <d v="2025-09-30T00:00:00"/>
    <x v="4"/>
    <x v="0"/>
    <n v="332"/>
    <n v="348"/>
    <n v="115536"/>
    <x v="2"/>
    <x v="2"/>
    <s v=""/>
    <s v=""/>
  </r>
  <r>
    <x v="286"/>
    <d v="2025-05-01T00:00:00"/>
    <x v="2"/>
    <x v="2"/>
    <n v="144"/>
    <n v="541"/>
    <n v="77904"/>
    <x v="0"/>
    <x v="1"/>
    <d v="2025-05-11T00:00:00"/>
    <n v="10"/>
  </r>
  <r>
    <x v="287"/>
    <d v="2025-04-25T00:00:00"/>
    <x v="4"/>
    <x v="9"/>
    <n v="337"/>
    <n v="740"/>
    <n v="249380"/>
    <x v="0"/>
    <x v="2"/>
    <s v=""/>
    <s v=""/>
  </r>
  <r>
    <x v="288"/>
    <d v="2025-02-23T00:00:00"/>
    <x v="2"/>
    <x v="7"/>
    <n v="224"/>
    <n v="1935"/>
    <n v="433440"/>
    <x v="2"/>
    <x v="1"/>
    <d v="2025-03-07T00:00:00"/>
    <n v="12"/>
  </r>
  <r>
    <x v="289"/>
    <d v="2025-02-24T00:00:00"/>
    <x v="1"/>
    <x v="9"/>
    <n v="466"/>
    <n v="415"/>
    <n v="193390"/>
    <x v="1"/>
    <x v="1"/>
    <d v="2025-03-03T00:00:00"/>
    <n v="7"/>
  </r>
  <r>
    <x v="290"/>
    <d v="2025-09-12T00:00:00"/>
    <x v="1"/>
    <x v="8"/>
    <n v="380"/>
    <n v="816"/>
    <n v="310080"/>
    <x v="1"/>
    <x v="0"/>
    <s v=""/>
    <s v=""/>
  </r>
  <r>
    <x v="291"/>
    <d v="2025-06-14T00:00:00"/>
    <x v="4"/>
    <x v="3"/>
    <n v="29"/>
    <n v="289"/>
    <n v="8381"/>
    <x v="1"/>
    <x v="1"/>
    <d v="2025-06-21T00:00:00"/>
    <n v="7"/>
  </r>
  <r>
    <x v="292"/>
    <d v="2025-07-13T00:00:00"/>
    <x v="4"/>
    <x v="5"/>
    <n v="139"/>
    <n v="832"/>
    <n v="115648"/>
    <x v="1"/>
    <x v="0"/>
    <s v=""/>
    <s v=""/>
  </r>
  <r>
    <x v="293"/>
    <d v="2025-03-21T00:00:00"/>
    <x v="2"/>
    <x v="8"/>
    <n v="138"/>
    <n v="1340"/>
    <n v="184920"/>
    <x v="0"/>
    <x v="0"/>
    <s v=""/>
    <s v=""/>
  </r>
  <r>
    <x v="294"/>
    <d v="2025-12-19T00:00:00"/>
    <x v="1"/>
    <x v="2"/>
    <n v="110"/>
    <n v="1440"/>
    <n v="158400"/>
    <x v="2"/>
    <x v="2"/>
    <s v=""/>
    <s v=""/>
  </r>
  <r>
    <x v="295"/>
    <d v="2025-05-11T00:00:00"/>
    <x v="4"/>
    <x v="4"/>
    <n v="23"/>
    <n v="393"/>
    <n v="9039"/>
    <x v="2"/>
    <x v="2"/>
    <s v=""/>
    <s v=""/>
  </r>
  <r>
    <x v="296"/>
    <d v="2025-06-18T00:00:00"/>
    <x v="0"/>
    <x v="6"/>
    <n v="230"/>
    <n v="1264"/>
    <n v="290720"/>
    <x v="0"/>
    <x v="0"/>
    <s v=""/>
    <s v=""/>
  </r>
  <r>
    <x v="297"/>
    <d v="2025-05-19T00:00:00"/>
    <x v="4"/>
    <x v="3"/>
    <n v="339"/>
    <n v="375"/>
    <n v="127125"/>
    <x v="2"/>
    <x v="0"/>
    <s v=""/>
    <s v=""/>
  </r>
  <r>
    <x v="298"/>
    <d v="2025-04-04T00:00:00"/>
    <x v="0"/>
    <x v="8"/>
    <n v="91"/>
    <n v="558"/>
    <n v="50778"/>
    <x v="1"/>
    <x v="0"/>
    <s v=""/>
    <s v=""/>
  </r>
  <r>
    <x v="299"/>
    <d v="2025-08-29T00:00:00"/>
    <x v="2"/>
    <x v="6"/>
    <n v="497"/>
    <n v="971"/>
    <n v="482587"/>
    <x v="2"/>
    <x v="2"/>
    <s v=""/>
    <s v=""/>
  </r>
  <r>
    <x v="300"/>
    <d v="2025-02-08T00:00:00"/>
    <x v="1"/>
    <x v="4"/>
    <n v="136"/>
    <n v="1864"/>
    <n v="253504"/>
    <x v="1"/>
    <x v="2"/>
    <s v=""/>
    <s v=""/>
  </r>
  <r>
    <x v="301"/>
    <d v="2025-11-25T00:00:00"/>
    <x v="2"/>
    <x v="9"/>
    <n v="414"/>
    <n v="926"/>
    <n v="383364"/>
    <x v="1"/>
    <x v="2"/>
    <s v=""/>
    <s v=""/>
  </r>
  <r>
    <x v="302"/>
    <d v="2025-08-21T00:00:00"/>
    <x v="2"/>
    <x v="4"/>
    <n v="298"/>
    <n v="1655"/>
    <n v="493190"/>
    <x v="0"/>
    <x v="1"/>
    <d v="2025-09-05T00:00:00"/>
    <n v="15"/>
  </r>
  <r>
    <x v="303"/>
    <d v="2026-01-01T00:00:00"/>
    <x v="4"/>
    <x v="3"/>
    <n v="490"/>
    <n v="240"/>
    <n v="117600"/>
    <x v="0"/>
    <x v="0"/>
    <s v=""/>
    <s v=""/>
  </r>
  <r>
    <x v="304"/>
    <d v="2026-01-15T00:00:00"/>
    <x v="0"/>
    <x v="4"/>
    <n v="148"/>
    <n v="599"/>
    <n v="88652"/>
    <x v="0"/>
    <x v="2"/>
    <s v=""/>
    <s v=""/>
  </r>
  <r>
    <x v="305"/>
    <d v="2025-04-04T00:00:00"/>
    <x v="1"/>
    <x v="8"/>
    <n v="493"/>
    <n v="143"/>
    <n v="70499"/>
    <x v="2"/>
    <x v="2"/>
    <s v=""/>
    <s v=""/>
  </r>
  <r>
    <x v="306"/>
    <d v="2025-07-04T00:00:00"/>
    <x v="1"/>
    <x v="5"/>
    <n v="303"/>
    <n v="1150"/>
    <n v="348450"/>
    <x v="0"/>
    <x v="2"/>
    <s v=""/>
    <s v=""/>
  </r>
  <r>
    <x v="307"/>
    <d v="2026-01-25T00:00:00"/>
    <x v="1"/>
    <x v="0"/>
    <n v="266"/>
    <n v="1304"/>
    <n v="346864"/>
    <x v="1"/>
    <x v="0"/>
    <s v=""/>
    <s v=""/>
  </r>
  <r>
    <x v="308"/>
    <d v="2026-01-06T00:00:00"/>
    <x v="3"/>
    <x v="3"/>
    <n v="407"/>
    <n v="745"/>
    <n v="303215"/>
    <x v="1"/>
    <x v="0"/>
    <s v=""/>
    <s v=""/>
  </r>
  <r>
    <x v="309"/>
    <d v="2025-10-05T00:00:00"/>
    <x v="0"/>
    <x v="2"/>
    <n v="358"/>
    <n v="1208"/>
    <n v="432464"/>
    <x v="1"/>
    <x v="1"/>
    <d v="2025-10-15T00:00:00"/>
    <n v="10"/>
  </r>
  <r>
    <x v="310"/>
    <d v="2025-08-07T00:00:00"/>
    <x v="1"/>
    <x v="9"/>
    <n v="292"/>
    <n v="1587"/>
    <n v="463404"/>
    <x v="2"/>
    <x v="0"/>
    <s v=""/>
    <s v=""/>
  </r>
  <r>
    <x v="311"/>
    <d v="2025-11-15T00:00:00"/>
    <x v="1"/>
    <x v="6"/>
    <n v="445"/>
    <n v="1521"/>
    <n v="676845"/>
    <x v="1"/>
    <x v="1"/>
    <d v="2025-11-22T00:00:00"/>
    <n v="7"/>
  </r>
  <r>
    <x v="312"/>
    <d v="2025-07-29T00:00:00"/>
    <x v="4"/>
    <x v="0"/>
    <n v="431"/>
    <n v="621"/>
    <n v="267651"/>
    <x v="1"/>
    <x v="0"/>
    <s v=""/>
    <s v=""/>
  </r>
  <r>
    <x v="313"/>
    <d v="2025-08-27T00:00:00"/>
    <x v="1"/>
    <x v="9"/>
    <n v="218"/>
    <n v="356"/>
    <n v="77608"/>
    <x v="0"/>
    <x v="1"/>
    <d v="2025-09-02T00:00:00"/>
    <n v="6"/>
  </r>
  <r>
    <x v="314"/>
    <d v="2025-02-09T00:00:00"/>
    <x v="2"/>
    <x v="3"/>
    <n v="247"/>
    <n v="1737"/>
    <n v="429039"/>
    <x v="1"/>
    <x v="0"/>
    <s v=""/>
    <s v=""/>
  </r>
  <r>
    <x v="315"/>
    <d v="2025-11-27T00:00:00"/>
    <x v="4"/>
    <x v="4"/>
    <n v="79"/>
    <n v="918"/>
    <n v="72522"/>
    <x v="2"/>
    <x v="0"/>
    <s v=""/>
    <s v=""/>
  </r>
  <r>
    <x v="316"/>
    <d v="2026-01-27T00:00:00"/>
    <x v="2"/>
    <x v="0"/>
    <n v="481"/>
    <n v="1429"/>
    <n v="687349"/>
    <x v="2"/>
    <x v="0"/>
    <s v=""/>
    <s v=""/>
  </r>
  <r>
    <x v="317"/>
    <d v="2025-05-11T00:00:00"/>
    <x v="2"/>
    <x v="4"/>
    <n v="407"/>
    <n v="1530"/>
    <n v="622710"/>
    <x v="0"/>
    <x v="2"/>
    <s v=""/>
    <s v=""/>
  </r>
  <r>
    <x v="318"/>
    <d v="2025-12-03T00:00:00"/>
    <x v="3"/>
    <x v="4"/>
    <n v="143"/>
    <n v="1888"/>
    <n v="269984"/>
    <x v="0"/>
    <x v="1"/>
    <d v="2025-12-08T00:00:00"/>
    <n v="5"/>
  </r>
  <r>
    <x v="319"/>
    <d v="2025-03-21T00:00:00"/>
    <x v="2"/>
    <x v="7"/>
    <n v="27"/>
    <n v="997"/>
    <n v="26919"/>
    <x v="1"/>
    <x v="2"/>
    <s v=""/>
    <s v=""/>
  </r>
  <r>
    <x v="320"/>
    <d v="2025-01-14T00:00:00"/>
    <x v="3"/>
    <x v="2"/>
    <n v="361"/>
    <n v="294"/>
    <n v="106134"/>
    <x v="0"/>
    <x v="2"/>
    <s v=""/>
    <s v=""/>
  </r>
  <r>
    <x v="321"/>
    <d v="2025-03-18T00:00:00"/>
    <x v="2"/>
    <x v="6"/>
    <n v="350"/>
    <n v="1717"/>
    <n v="600950"/>
    <x v="1"/>
    <x v="2"/>
    <s v=""/>
    <s v=""/>
  </r>
  <r>
    <x v="322"/>
    <d v="2025-10-10T00:00:00"/>
    <x v="2"/>
    <x v="8"/>
    <n v="444"/>
    <n v="1501"/>
    <n v="666444"/>
    <x v="0"/>
    <x v="1"/>
    <d v="2025-10-15T00:00:00"/>
    <n v="5"/>
  </r>
  <r>
    <x v="323"/>
    <d v="2025-01-29T00:00:00"/>
    <x v="0"/>
    <x v="2"/>
    <n v="498"/>
    <n v="918"/>
    <n v="457164"/>
    <x v="0"/>
    <x v="1"/>
    <d v="2025-02-11T00:00:00"/>
    <n v="13"/>
  </r>
  <r>
    <x v="324"/>
    <d v="2025-11-24T00:00:00"/>
    <x v="0"/>
    <x v="6"/>
    <n v="306"/>
    <n v="1328"/>
    <n v="406368"/>
    <x v="2"/>
    <x v="2"/>
    <s v=""/>
    <s v=""/>
  </r>
  <r>
    <x v="325"/>
    <d v="2025-06-03T00:00:00"/>
    <x v="0"/>
    <x v="3"/>
    <n v="77"/>
    <n v="1445"/>
    <n v="111265"/>
    <x v="2"/>
    <x v="1"/>
    <d v="2025-06-12T00:00:00"/>
    <n v="9"/>
  </r>
  <r>
    <x v="326"/>
    <d v="2025-03-18T00:00:00"/>
    <x v="2"/>
    <x v="3"/>
    <n v="87"/>
    <n v="1061"/>
    <n v="92307"/>
    <x v="0"/>
    <x v="2"/>
    <s v=""/>
    <s v=""/>
  </r>
  <r>
    <x v="327"/>
    <d v="2025-05-04T00:00:00"/>
    <x v="1"/>
    <x v="6"/>
    <n v="18"/>
    <n v="135"/>
    <n v="2430"/>
    <x v="2"/>
    <x v="2"/>
    <s v=""/>
    <s v=""/>
  </r>
  <r>
    <x v="328"/>
    <d v="2025-03-06T00:00:00"/>
    <x v="2"/>
    <x v="7"/>
    <n v="217"/>
    <n v="24"/>
    <n v="5208"/>
    <x v="2"/>
    <x v="1"/>
    <d v="2025-03-19T00:00:00"/>
    <n v="13"/>
  </r>
  <r>
    <x v="329"/>
    <d v="2026-01-05T00:00:00"/>
    <x v="1"/>
    <x v="8"/>
    <n v="89"/>
    <n v="817"/>
    <n v="72713"/>
    <x v="0"/>
    <x v="2"/>
    <s v=""/>
    <s v=""/>
  </r>
  <r>
    <x v="330"/>
    <d v="2025-01-18T00:00:00"/>
    <x v="2"/>
    <x v="8"/>
    <n v="218"/>
    <n v="1790"/>
    <n v="390220"/>
    <x v="0"/>
    <x v="1"/>
    <d v="2025-02-01T00:00:00"/>
    <n v="14"/>
  </r>
  <r>
    <x v="331"/>
    <d v="2025-01-21T00:00:00"/>
    <x v="2"/>
    <x v="1"/>
    <n v="359"/>
    <n v="1293"/>
    <n v="464187"/>
    <x v="2"/>
    <x v="2"/>
    <s v=""/>
    <s v=""/>
  </r>
  <r>
    <x v="332"/>
    <d v="2025-10-27T00:00:00"/>
    <x v="1"/>
    <x v="0"/>
    <n v="309"/>
    <n v="1874"/>
    <n v="579066"/>
    <x v="0"/>
    <x v="2"/>
    <s v=""/>
    <s v=""/>
  </r>
  <r>
    <x v="333"/>
    <d v="2026-01-17T00:00:00"/>
    <x v="2"/>
    <x v="6"/>
    <n v="338"/>
    <n v="1780"/>
    <n v="601640"/>
    <x v="1"/>
    <x v="1"/>
    <d v="2026-01-26T00:00:00"/>
    <n v="9"/>
  </r>
  <r>
    <x v="334"/>
    <d v="2026-01-06T00:00:00"/>
    <x v="3"/>
    <x v="8"/>
    <n v="120"/>
    <n v="1122"/>
    <n v="134640"/>
    <x v="2"/>
    <x v="1"/>
    <d v="2026-01-12T00:00:00"/>
    <n v="6"/>
  </r>
  <r>
    <x v="335"/>
    <d v="2025-04-06T00:00:00"/>
    <x v="1"/>
    <x v="7"/>
    <n v="401"/>
    <n v="944"/>
    <n v="378544"/>
    <x v="1"/>
    <x v="0"/>
    <s v=""/>
    <s v=""/>
  </r>
  <r>
    <x v="336"/>
    <d v="2025-07-10T00:00:00"/>
    <x v="0"/>
    <x v="9"/>
    <n v="52"/>
    <n v="1304"/>
    <n v="67808"/>
    <x v="0"/>
    <x v="1"/>
    <d v="2025-07-23T00:00:00"/>
    <n v="13"/>
  </r>
  <r>
    <x v="337"/>
    <d v="2025-09-16T00:00:00"/>
    <x v="1"/>
    <x v="1"/>
    <n v="374"/>
    <n v="1290"/>
    <n v="482460"/>
    <x v="1"/>
    <x v="1"/>
    <d v="2025-10-01T00:00:00"/>
    <n v="15"/>
  </r>
  <r>
    <x v="338"/>
    <d v="2025-12-26T00:00:00"/>
    <x v="1"/>
    <x v="1"/>
    <n v="22"/>
    <n v="1081"/>
    <n v="23782"/>
    <x v="0"/>
    <x v="0"/>
    <s v=""/>
    <s v=""/>
  </r>
  <r>
    <x v="339"/>
    <d v="2025-12-26T00:00:00"/>
    <x v="4"/>
    <x v="2"/>
    <n v="146"/>
    <n v="483"/>
    <n v="70518"/>
    <x v="2"/>
    <x v="1"/>
    <d v="2026-01-06T00:00:00"/>
    <n v="11"/>
  </r>
  <r>
    <x v="340"/>
    <d v="2025-01-17T00:00:00"/>
    <x v="0"/>
    <x v="7"/>
    <n v="93"/>
    <n v="608"/>
    <n v="56544"/>
    <x v="2"/>
    <x v="0"/>
    <s v=""/>
    <s v=""/>
  </r>
  <r>
    <x v="341"/>
    <d v="2025-12-27T00:00:00"/>
    <x v="0"/>
    <x v="6"/>
    <n v="274"/>
    <n v="770"/>
    <n v="210980"/>
    <x v="2"/>
    <x v="1"/>
    <d v="2026-01-08T00:00:00"/>
    <n v="12"/>
  </r>
  <r>
    <x v="342"/>
    <d v="2025-07-24T00:00:00"/>
    <x v="0"/>
    <x v="0"/>
    <n v="439"/>
    <n v="1798"/>
    <n v="789322"/>
    <x v="2"/>
    <x v="2"/>
    <s v=""/>
    <s v=""/>
  </r>
  <r>
    <x v="343"/>
    <d v="2025-03-09T00:00:00"/>
    <x v="0"/>
    <x v="9"/>
    <n v="387"/>
    <n v="1318"/>
    <n v="510066"/>
    <x v="2"/>
    <x v="1"/>
    <d v="2025-03-20T00:00:00"/>
    <n v="11"/>
  </r>
  <r>
    <x v="344"/>
    <d v="2025-05-12T00:00:00"/>
    <x v="1"/>
    <x v="3"/>
    <n v="379"/>
    <n v="1989"/>
    <n v="753831"/>
    <x v="0"/>
    <x v="0"/>
    <s v=""/>
    <s v=""/>
  </r>
  <r>
    <x v="345"/>
    <d v="2025-05-31T00:00:00"/>
    <x v="0"/>
    <x v="8"/>
    <n v="273"/>
    <n v="1774"/>
    <n v="484302"/>
    <x v="2"/>
    <x v="2"/>
    <s v=""/>
    <s v=""/>
  </r>
  <r>
    <x v="346"/>
    <d v="2025-02-11T00:00:00"/>
    <x v="4"/>
    <x v="5"/>
    <n v="277"/>
    <n v="438"/>
    <n v="121326"/>
    <x v="2"/>
    <x v="2"/>
    <s v=""/>
    <s v=""/>
  </r>
  <r>
    <x v="347"/>
    <d v="2025-08-31T00:00:00"/>
    <x v="4"/>
    <x v="8"/>
    <n v="18"/>
    <n v="1998"/>
    <n v="35964"/>
    <x v="2"/>
    <x v="2"/>
    <s v=""/>
    <s v=""/>
  </r>
  <r>
    <x v="348"/>
    <d v="2025-10-15T00:00:00"/>
    <x v="1"/>
    <x v="2"/>
    <n v="353"/>
    <n v="1255"/>
    <n v="443015"/>
    <x v="1"/>
    <x v="2"/>
    <s v=""/>
    <s v=""/>
  </r>
  <r>
    <x v="349"/>
    <d v="2026-01-13T00:00:00"/>
    <x v="4"/>
    <x v="7"/>
    <n v="457"/>
    <n v="1346"/>
    <n v="615122"/>
    <x v="1"/>
    <x v="0"/>
    <s v=""/>
    <s v=""/>
  </r>
  <r>
    <x v="350"/>
    <d v="2025-01-09T00:00:00"/>
    <x v="1"/>
    <x v="4"/>
    <n v="257"/>
    <n v="1088"/>
    <n v="279616"/>
    <x v="0"/>
    <x v="2"/>
    <s v=""/>
    <s v=""/>
  </r>
  <r>
    <x v="351"/>
    <d v="2025-06-18T00:00:00"/>
    <x v="4"/>
    <x v="7"/>
    <n v="17"/>
    <n v="1748"/>
    <n v="29716"/>
    <x v="0"/>
    <x v="0"/>
    <s v=""/>
    <s v=""/>
  </r>
  <r>
    <x v="352"/>
    <d v="2025-12-12T00:00:00"/>
    <x v="4"/>
    <x v="3"/>
    <n v="321"/>
    <n v="663"/>
    <n v="212823"/>
    <x v="0"/>
    <x v="0"/>
    <s v=""/>
    <s v=""/>
  </r>
  <r>
    <x v="353"/>
    <d v="2025-07-23T00:00:00"/>
    <x v="1"/>
    <x v="6"/>
    <n v="426"/>
    <n v="403"/>
    <n v="171678"/>
    <x v="0"/>
    <x v="0"/>
    <s v=""/>
    <s v=""/>
  </r>
  <r>
    <x v="354"/>
    <d v="2025-10-14T00:00:00"/>
    <x v="1"/>
    <x v="7"/>
    <n v="422"/>
    <n v="1068"/>
    <n v="450696"/>
    <x v="1"/>
    <x v="1"/>
    <d v="2025-10-25T00:00:00"/>
    <n v="11"/>
  </r>
  <r>
    <x v="355"/>
    <d v="2025-07-15T00:00:00"/>
    <x v="1"/>
    <x v="6"/>
    <n v="143"/>
    <n v="1628"/>
    <n v="232804"/>
    <x v="0"/>
    <x v="2"/>
    <s v=""/>
    <s v=""/>
  </r>
  <r>
    <x v="356"/>
    <d v="2025-10-10T00:00:00"/>
    <x v="1"/>
    <x v="6"/>
    <n v="217"/>
    <n v="1527"/>
    <n v="331359"/>
    <x v="2"/>
    <x v="0"/>
    <s v=""/>
    <s v=""/>
  </r>
  <r>
    <x v="357"/>
    <d v="2025-12-31T00:00:00"/>
    <x v="3"/>
    <x v="3"/>
    <n v="437"/>
    <n v="276"/>
    <n v="120612"/>
    <x v="1"/>
    <x v="2"/>
    <s v=""/>
    <s v=""/>
  </r>
  <r>
    <x v="358"/>
    <d v="2025-08-08T00:00:00"/>
    <x v="4"/>
    <x v="2"/>
    <n v="199"/>
    <n v="1655"/>
    <n v="329345"/>
    <x v="0"/>
    <x v="1"/>
    <d v="2025-08-13T00:00:00"/>
    <n v="5"/>
  </r>
  <r>
    <x v="359"/>
    <d v="2025-06-10T00:00:00"/>
    <x v="4"/>
    <x v="5"/>
    <n v="89"/>
    <n v="1969"/>
    <n v="175241"/>
    <x v="2"/>
    <x v="0"/>
    <s v=""/>
    <s v=""/>
  </r>
  <r>
    <x v="360"/>
    <d v="2025-08-13T00:00:00"/>
    <x v="0"/>
    <x v="0"/>
    <n v="438"/>
    <n v="1404"/>
    <n v="614952"/>
    <x v="0"/>
    <x v="2"/>
    <s v=""/>
    <s v=""/>
  </r>
  <r>
    <x v="361"/>
    <d v="2025-09-03T00:00:00"/>
    <x v="3"/>
    <x v="9"/>
    <n v="198"/>
    <n v="1217"/>
    <n v="240966"/>
    <x v="1"/>
    <x v="0"/>
    <s v=""/>
    <s v=""/>
  </r>
  <r>
    <x v="362"/>
    <d v="2025-10-01T00:00:00"/>
    <x v="3"/>
    <x v="5"/>
    <n v="94"/>
    <n v="727"/>
    <n v="68338"/>
    <x v="0"/>
    <x v="2"/>
    <s v=""/>
    <s v=""/>
  </r>
  <r>
    <x v="363"/>
    <d v="2025-03-15T00:00:00"/>
    <x v="0"/>
    <x v="2"/>
    <n v="10"/>
    <n v="43"/>
    <n v="430"/>
    <x v="0"/>
    <x v="2"/>
    <s v=""/>
    <s v=""/>
  </r>
  <r>
    <x v="364"/>
    <d v="2025-09-03T00:00:00"/>
    <x v="4"/>
    <x v="9"/>
    <n v="210"/>
    <n v="343"/>
    <n v="72030"/>
    <x v="0"/>
    <x v="1"/>
    <d v="2025-09-14T00:00:00"/>
    <n v="11"/>
  </r>
  <r>
    <x v="365"/>
    <d v="2025-12-11T00:00:00"/>
    <x v="1"/>
    <x v="0"/>
    <n v="388"/>
    <n v="72"/>
    <n v="27936"/>
    <x v="0"/>
    <x v="1"/>
    <d v="2025-12-22T00:00:00"/>
    <n v="11"/>
  </r>
  <r>
    <x v="366"/>
    <d v="2025-08-24T00:00:00"/>
    <x v="3"/>
    <x v="2"/>
    <n v="451"/>
    <n v="355"/>
    <n v="160105"/>
    <x v="2"/>
    <x v="0"/>
    <s v=""/>
    <s v=""/>
  </r>
  <r>
    <x v="367"/>
    <d v="2026-01-06T00:00:00"/>
    <x v="4"/>
    <x v="3"/>
    <n v="193"/>
    <n v="270"/>
    <n v="52110"/>
    <x v="0"/>
    <x v="0"/>
    <s v=""/>
    <s v=""/>
  </r>
  <r>
    <x v="368"/>
    <d v="2026-01-04T00:00:00"/>
    <x v="1"/>
    <x v="4"/>
    <n v="174"/>
    <n v="716"/>
    <n v="124584"/>
    <x v="0"/>
    <x v="0"/>
    <s v=""/>
    <s v=""/>
  </r>
  <r>
    <x v="369"/>
    <d v="2025-06-10T00:00:00"/>
    <x v="1"/>
    <x v="7"/>
    <n v="218"/>
    <n v="1842"/>
    <n v="401556"/>
    <x v="1"/>
    <x v="1"/>
    <d v="2025-06-15T00:00:00"/>
    <n v="5"/>
  </r>
  <r>
    <x v="370"/>
    <d v="2025-06-20T00:00:00"/>
    <x v="1"/>
    <x v="8"/>
    <n v="95"/>
    <n v="1031"/>
    <n v="97945"/>
    <x v="1"/>
    <x v="2"/>
    <s v=""/>
    <s v=""/>
  </r>
  <r>
    <x v="371"/>
    <d v="2025-05-28T00:00:00"/>
    <x v="2"/>
    <x v="1"/>
    <n v="141"/>
    <n v="999"/>
    <n v="140859"/>
    <x v="1"/>
    <x v="0"/>
    <s v=""/>
    <s v=""/>
  </r>
  <r>
    <x v="372"/>
    <d v="2025-09-17T00:00:00"/>
    <x v="2"/>
    <x v="8"/>
    <n v="11"/>
    <n v="817"/>
    <n v="8987"/>
    <x v="1"/>
    <x v="0"/>
    <s v=""/>
    <s v=""/>
  </r>
  <r>
    <x v="373"/>
    <d v="2025-04-04T00:00:00"/>
    <x v="3"/>
    <x v="3"/>
    <n v="429"/>
    <n v="1283"/>
    <n v="550407"/>
    <x v="2"/>
    <x v="2"/>
    <s v=""/>
    <s v=""/>
  </r>
  <r>
    <x v="374"/>
    <d v="2025-12-20T00:00:00"/>
    <x v="3"/>
    <x v="0"/>
    <n v="262"/>
    <n v="1241"/>
    <n v="325142"/>
    <x v="2"/>
    <x v="0"/>
    <s v=""/>
    <s v=""/>
  </r>
  <r>
    <x v="375"/>
    <d v="2025-06-08T00:00:00"/>
    <x v="3"/>
    <x v="2"/>
    <n v="383"/>
    <n v="1499"/>
    <n v="574117"/>
    <x v="0"/>
    <x v="2"/>
    <s v=""/>
    <s v=""/>
  </r>
  <r>
    <x v="376"/>
    <d v="2025-12-25T00:00:00"/>
    <x v="0"/>
    <x v="1"/>
    <n v="85"/>
    <n v="68"/>
    <n v="5780"/>
    <x v="0"/>
    <x v="2"/>
    <s v=""/>
    <s v=""/>
  </r>
  <r>
    <x v="377"/>
    <d v="2026-01-06T00:00:00"/>
    <x v="0"/>
    <x v="7"/>
    <n v="332"/>
    <n v="970"/>
    <n v="322040"/>
    <x v="2"/>
    <x v="2"/>
    <s v=""/>
    <s v=""/>
  </r>
  <r>
    <x v="378"/>
    <d v="2025-02-22T00:00:00"/>
    <x v="2"/>
    <x v="3"/>
    <n v="20"/>
    <n v="269"/>
    <n v="5380"/>
    <x v="1"/>
    <x v="1"/>
    <d v="2025-03-03T00:00:00"/>
    <n v="9"/>
  </r>
  <r>
    <x v="379"/>
    <d v="2025-06-25T00:00:00"/>
    <x v="0"/>
    <x v="6"/>
    <n v="96"/>
    <n v="24"/>
    <n v="2304"/>
    <x v="2"/>
    <x v="2"/>
    <s v=""/>
    <s v=""/>
  </r>
  <r>
    <x v="380"/>
    <d v="2025-06-02T00:00:00"/>
    <x v="4"/>
    <x v="8"/>
    <n v="228"/>
    <n v="1764"/>
    <n v="402192"/>
    <x v="1"/>
    <x v="1"/>
    <d v="2025-06-12T00:00:00"/>
    <n v="10"/>
  </r>
  <r>
    <x v="381"/>
    <d v="2026-01-22T00:00:00"/>
    <x v="2"/>
    <x v="5"/>
    <n v="293"/>
    <n v="1337"/>
    <n v="391741"/>
    <x v="2"/>
    <x v="2"/>
    <s v=""/>
    <s v=""/>
  </r>
  <r>
    <x v="382"/>
    <d v="2025-12-28T00:00:00"/>
    <x v="3"/>
    <x v="0"/>
    <n v="283"/>
    <n v="754"/>
    <n v="213382"/>
    <x v="2"/>
    <x v="1"/>
    <d v="2026-01-09T00:00:00"/>
    <n v="12"/>
  </r>
  <r>
    <x v="383"/>
    <d v="2025-06-01T00:00:00"/>
    <x v="3"/>
    <x v="4"/>
    <n v="152"/>
    <n v="541"/>
    <n v="82232"/>
    <x v="0"/>
    <x v="1"/>
    <d v="2025-06-07T00:00:00"/>
    <n v="6"/>
  </r>
  <r>
    <x v="384"/>
    <d v="2025-11-11T00:00:00"/>
    <x v="2"/>
    <x v="9"/>
    <n v="445"/>
    <n v="1470"/>
    <n v="654150"/>
    <x v="1"/>
    <x v="1"/>
    <d v="2025-11-17T00:00:00"/>
    <n v="6"/>
  </r>
  <r>
    <x v="385"/>
    <d v="2025-09-17T00:00:00"/>
    <x v="2"/>
    <x v="1"/>
    <n v="140"/>
    <n v="1908"/>
    <n v="267120"/>
    <x v="2"/>
    <x v="0"/>
    <s v=""/>
    <s v=""/>
  </r>
  <r>
    <x v="386"/>
    <d v="2025-07-19T00:00:00"/>
    <x v="0"/>
    <x v="5"/>
    <n v="377"/>
    <n v="1219"/>
    <n v="459563"/>
    <x v="1"/>
    <x v="0"/>
    <s v=""/>
    <s v=""/>
  </r>
  <r>
    <x v="387"/>
    <d v="2025-03-20T00:00:00"/>
    <x v="1"/>
    <x v="1"/>
    <n v="424"/>
    <n v="773"/>
    <n v="327752"/>
    <x v="1"/>
    <x v="1"/>
    <d v="2025-04-02T00:00:00"/>
    <n v="13"/>
  </r>
  <r>
    <x v="388"/>
    <d v="2026-01-13T00:00:00"/>
    <x v="2"/>
    <x v="1"/>
    <n v="386"/>
    <n v="384"/>
    <n v="148224"/>
    <x v="1"/>
    <x v="1"/>
    <d v="2026-01-20T00:00:00"/>
    <n v="7"/>
  </r>
  <r>
    <x v="389"/>
    <d v="2025-03-20T00:00:00"/>
    <x v="4"/>
    <x v="3"/>
    <n v="118"/>
    <n v="832"/>
    <n v="98176"/>
    <x v="2"/>
    <x v="1"/>
    <d v="2025-03-29T00:00:00"/>
    <n v="9"/>
  </r>
  <r>
    <x v="390"/>
    <d v="2025-10-13T00:00:00"/>
    <x v="1"/>
    <x v="5"/>
    <n v="265"/>
    <n v="1526"/>
    <n v="404390"/>
    <x v="2"/>
    <x v="1"/>
    <d v="2025-10-20T00:00:00"/>
    <n v="7"/>
  </r>
  <r>
    <x v="391"/>
    <d v="2025-04-29T00:00:00"/>
    <x v="4"/>
    <x v="8"/>
    <n v="274"/>
    <n v="57"/>
    <n v="15618"/>
    <x v="2"/>
    <x v="1"/>
    <d v="2025-05-11T00:00:00"/>
    <n v="12"/>
  </r>
  <r>
    <x v="392"/>
    <d v="2025-09-05T00:00:00"/>
    <x v="1"/>
    <x v="9"/>
    <n v="302"/>
    <n v="1971"/>
    <n v="595242"/>
    <x v="0"/>
    <x v="1"/>
    <d v="2025-09-19T00:00:00"/>
    <n v="14"/>
  </r>
  <r>
    <x v="393"/>
    <d v="2025-08-26T00:00:00"/>
    <x v="1"/>
    <x v="5"/>
    <n v="484"/>
    <n v="1109"/>
    <n v="536756"/>
    <x v="2"/>
    <x v="1"/>
    <d v="2025-09-06T00:00:00"/>
    <n v="11"/>
  </r>
  <r>
    <x v="394"/>
    <d v="2025-05-21T00:00:00"/>
    <x v="0"/>
    <x v="4"/>
    <n v="247"/>
    <n v="579"/>
    <n v="143013"/>
    <x v="1"/>
    <x v="0"/>
    <s v=""/>
    <s v=""/>
  </r>
  <r>
    <x v="395"/>
    <d v="2025-06-22T00:00:00"/>
    <x v="3"/>
    <x v="8"/>
    <n v="303"/>
    <n v="139"/>
    <n v="42117"/>
    <x v="0"/>
    <x v="1"/>
    <d v="2025-07-01T00:00:00"/>
    <n v="9"/>
  </r>
  <r>
    <x v="396"/>
    <d v="2025-12-11T00:00:00"/>
    <x v="0"/>
    <x v="3"/>
    <n v="230"/>
    <n v="889"/>
    <n v="204470"/>
    <x v="1"/>
    <x v="0"/>
    <s v=""/>
    <s v=""/>
  </r>
  <r>
    <x v="397"/>
    <d v="2025-02-24T00:00:00"/>
    <x v="2"/>
    <x v="9"/>
    <n v="456"/>
    <n v="1350"/>
    <n v="615600"/>
    <x v="0"/>
    <x v="2"/>
    <s v=""/>
    <s v=""/>
  </r>
  <r>
    <x v="398"/>
    <d v="2025-12-20T00:00:00"/>
    <x v="4"/>
    <x v="7"/>
    <n v="88"/>
    <n v="997"/>
    <n v="87736"/>
    <x v="2"/>
    <x v="2"/>
    <s v=""/>
    <s v=""/>
  </r>
  <r>
    <x v="399"/>
    <d v="2025-02-28T00:00:00"/>
    <x v="2"/>
    <x v="1"/>
    <n v="215"/>
    <n v="1043"/>
    <n v="224245"/>
    <x v="1"/>
    <x v="0"/>
    <s v=""/>
    <s v=""/>
  </r>
  <r>
    <x v="400"/>
    <d v="2025-10-04T00:00:00"/>
    <x v="1"/>
    <x v="8"/>
    <n v="490"/>
    <n v="1645"/>
    <n v="806050"/>
    <x v="1"/>
    <x v="1"/>
    <d v="2025-10-19T00:00:00"/>
    <n v="15"/>
  </r>
  <r>
    <x v="401"/>
    <d v="2025-10-13T00:00:00"/>
    <x v="2"/>
    <x v="1"/>
    <n v="146"/>
    <n v="1145"/>
    <n v="167170"/>
    <x v="1"/>
    <x v="2"/>
    <s v=""/>
    <s v=""/>
  </r>
  <r>
    <x v="402"/>
    <d v="2025-10-20T00:00:00"/>
    <x v="3"/>
    <x v="7"/>
    <n v="279"/>
    <n v="899"/>
    <n v="250821"/>
    <x v="1"/>
    <x v="1"/>
    <d v="2025-10-28T00:00:00"/>
    <n v="8"/>
  </r>
  <r>
    <x v="403"/>
    <d v="2025-02-17T00:00:00"/>
    <x v="4"/>
    <x v="8"/>
    <n v="120"/>
    <n v="728"/>
    <n v="87360"/>
    <x v="1"/>
    <x v="2"/>
    <s v=""/>
    <s v=""/>
  </r>
  <r>
    <x v="404"/>
    <d v="2026-01-23T00:00:00"/>
    <x v="0"/>
    <x v="0"/>
    <n v="56"/>
    <n v="484"/>
    <n v="27104"/>
    <x v="0"/>
    <x v="1"/>
    <d v="2026-01-29T00:00:00"/>
    <n v="6"/>
  </r>
  <r>
    <x v="405"/>
    <d v="2025-11-03T00:00:00"/>
    <x v="3"/>
    <x v="2"/>
    <n v="67"/>
    <n v="1719"/>
    <n v="115173"/>
    <x v="0"/>
    <x v="0"/>
    <s v=""/>
    <s v=""/>
  </r>
  <r>
    <x v="406"/>
    <d v="2025-04-09T00:00:00"/>
    <x v="0"/>
    <x v="8"/>
    <n v="131"/>
    <n v="1738"/>
    <n v="227678"/>
    <x v="2"/>
    <x v="1"/>
    <d v="2025-04-18T00:00:00"/>
    <n v="9"/>
  </r>
  <r>
    <x v="407"/>
    <d v="2025-07-30T00:00:00"/>
    <x v="0"/>
    <x v="0"/>
    <n v="188"/>
    <n v="1266"/>
    <n v="238008"/>
    <x v="2"/>
    <x v="2"/>
    <s v=""/>
    <s v=""/>
  </r>
  <r>
    <x v="408"/>
    <d v="2025-08-08T00:00:00"/>
    <x v="0"/>
    <x v="6"/>
    <n v="24"/>
    <n v="1995"/>
    <n v="47880"/>
    <x v="1"/>
    <x v="0"/>
    <s v=""/>
    <s v=""/>
  </r>
  <r>
    <x v="409"/>
    <d v="2025-03-22T00:00:00"/>
    <x v="1"/>
    <x v="3"/>
    <n v="143"/>
    <n v="1916"/>
    <n v="273988"/>
    <x v="1"/>
    <x v="0"/>
    <s v=""/>
    <s v=""/>
  </r>
  <r>
    <x v="410"/>
    <d v="2025-01-20T00:00:00"/>
    <x v="1"/>
    <x v="8"/>
    <n v="8"/>
    <n v="97"/>
    <n v="776"/>
    <x v="0"/>
    <x v="2"/>
    <s v=""/>
    <s v=""/>
  </r>
  <r>
    <x v="411"/>
    <d v="2025-05-25T00:00:00"/>
    <x v="1"/>
    <x v="0"/>
    <n v="152"/>
    <n v="831"/>
    <n v="126312"/>
    <x v="0"/>
    <x v="1"/>
    <d v="2025-06-06T00:00:00"/>
    <n v="12"/>
  </r>
  <r>
    <x v="412"/>
    <d v="2025-03-21T00:00:00"/>
    <x v="0"/>
    <x v="6"/>
    <n v="457"/>
    <n v="610"/>
    <n v="278770"/>
    <x v="2"/>
    <x v="1"/>
    <d v="2025-03-31T00:00:00"/>
    <n v="10"/>
  </r>
  <r>
    <x v="413"/>
    <d v="2025-01-01T00:00:00"/>
    <x v="3"/>
    <x v="1"/>
    <n v="76"/>
    <n v="1807"/>
    <n v="137332"/>
    <x v="0"/>
    <x v="1"/>
    <d v="2025-01-15T00:00:00"/>
    <n v="14"/>
  </r>
  <r>
    <x v="414"/>
    <d v="2025-05-18T00:00:00"/>
    <x v="4"/>
    <x v="7"/>
    <n v="277"/>
    <n v="1772"/>
    <n v="490844"/>
    <x v="0"/>
    <x v="2"/>
    <s v=""/>
    <s v=""/>
  </r>
  <r>
    <x v="415"/>
    <d v="2025-01-29T00:00:00"/>
    <x v="3"/>
    <x v="8"/>
    <n v="64"/>
    <n v="1722"/>
    <n v="110208"/>
    <x v="0"/>
    <x v="2"/>
    <s v=""/>
    <s v=""/>
  </r>
  <r>
    <x v="416"/>
    <d v="2025-10-17T00:00:00"/>
    <x v="0"/>
    <x v="5"/>
    <n v="167"/>
    <n v="1403"/>
    <n v="234301"/>
    <x v="0"/>
    <x v="0"/>
    <s v=""/>
    <s v=""/>
  </r>
  <r>
    <x v="417"/>
    <d v="2025-04-12T00:00:00"/>
    <x v="3"/>
    <x v="9"/>
    <n v="435"/>
    <n v="1933"/>
    <n v="840855"/>
    <x v="1"/>
    <x v="1"/>
    <d v="2025-04-21T00:00:00"/>
    <n v="9"/>
  </r>
  <r>
    <x v="418"/>
    <d v="2025-11-07T00:00:00"/>
    <x v="1"/>
    <x v="9"/>
    <n v="438"/>
    <n v="913"/>
    <n v="399894"/>
    <x v="1"/>
    <x v="2"/>
    <s v=""/>
    <s v=""/>
  </r>
  <r>
    <x v="419"/>
    <d v="2025-09-22T00:00:00"/>
    <x v="3"/>
    <x v="9"/>
    <n v="93"/>
    <n v="430"/>
    <n v="39990"/>
    <x v="1"/>
    <x v="2"/>
    <s v=""/>
    <s v=""/>
  </r>
  <r>
    <x v="420"/>
    <d v="2025-05-03T00:00:00"/>
    <x v="2"/>
    <x v="7"/>
    <n v="473"/>
    <n v="1071"/>
    <n v="506583"/>
    <x v="2"/>
    <x v="2"/>
    <s v=""/>
    <s v=""/>
  </r>
  <r>
    <x v="421"/>
    <d v="2026-01-15T00:00:00"/>
    <x v="0"/>
    <x v="5"/>
    <n v="270"/>
    <n v="827"/>
    <n v="223290"/>
    <x v="0"/>
    <x v="0"/>
    <s v=""/>
    <s v=""/>
  </r>
  <r>
    <x v="422"/>
    <d v="2025-07-04T00:00:00"/>
    <x v="2"/>
    <x v="5"/>
    <n v="457"/>
    <n v="100"/>
    <n v="45700"/>
    <x v="2"/>
    <x v="0"/>
    <s v=""/>
    <s v=""/>
  </r>
  <r>
    <x v="423"/>
    <d v="2026-01-17T00:00:00"/>
    <x v="1"/>
    <x v="0"/>
    <n v="245"/>
    <n v="509"/>
    <n v="124705"/>
    <x v="0"/>
    <x v="2"/>
    <s v=""/>
    <s v=""/>
  </r>
  <r>
    <x v="424"/>
    <d v="2025-06-21T00:00:00"/>
    <x v="4"/>
    <x v="4"/>
    <n v="240"/>
    <n v="753"/>
    <n v="180720"/>
    <x v="0"/>
    <x v="0"/>
    <s v=""/>
    <s v=""/>
  </r>
  <r>
    <x v="425"/>
    <d v="2025-04-05T00:00:00"/>
    <x v="1"/>
    <x v="7"/>
    <n v="371"/>
    <n v="798"/>
    <n v="296058"/>
    <x v="0"/>
    <x v="2"/>
    <s v=""/>
    <s v=""/>
  </r>
  <r>
    <x v="426"/>
    <d v="2025-02-20T00:00:00"/>
    <x v="3"/>
    <x v="9"/>
    <n v="93"/>
    <n v="849"/>
    <n v="78957"/>
    <x v="1"/>
    <x v="2"/>
    <s v=""/>
    <s v=""/>
  </r>
  <r>
    <x v="427"/>
    <d v="2025-05-01T00:00:00"/>
    <x v="4"/>
    <x v="4"/>
    <n v="282"/>
    <n v="756"/>
    <n v="213192"/>
    <x v="0"/>
    <x v="0"/>
    <s v=""/>
    <s v=""/>
  </r>
  <r>
    <x v="428"/>
    <d v="2025-06-14T00:00:00"/>
    <x v="0"/>
    <x v="3"/>
    <n v="117"/>
    <n v="762"/>
    <n v="89154"/>
    <x v="2"/>
    <x v="0"/>
    <s v=""/>
    <s v=""/>
  </r>
  <r>
    <x v="429"/>
    <d v="2025-03-19T00:00:00"/>
    <x v="3"/>
    <x v="4"/>
    <n v="311"/>
    <n v="1986"/>
    <n v="617646"/>
    <x v="2"/>
    <x v="0"/>
    <s v=""/>
    <s v=""/>
  </r>
  <r>
    <x v="430"/>
    <d v="2025-12-17T00:00:00"/>
    <x v="3"/>
    <x v="8"/>
    <n v="385"/>
    <n v="99"/>
    <n v="38115"/>
    <x v="2"/>
    <x v="1"/>
    <d v="2025-12-31T00:00:00"/>
    <n v="14"/>
  </r>
  <r>
    <x v="431"/>
    <d v="2025-02-18T00:00:00"/>
    <x v="2"/>
    <x v="8"/>
    <n v="54"/>
    <n v="1005"/>
    <n v="54270"/>
    <x v="2"/>
    <x v="1"/>
    <d v="2025-03-05T00:00:00"/>
    <n v="15"/>
  </r>
  <r>
    <x v="432"/>
    <d v="2025-06-30T00:00:00"/>
    <x v="0"/>
    <x v="7"/>
    <n v="247"/>
    <n v="295"/>
    <n v="72865"/>
    <x v="1"/>
    <x v="1"/>
    <d v="2025-07-11T00:00:00"/>
    <n v="11"/>
  </r>
  <r>
    <x v="433"/>
    <d v="2025-10-06T00:00:00"/>
    <x v="4"/>
    <x v="6"/>
    <n v="217"/>
    <n v="775"/>
    <n v="168175"/>
    <x v="0"/>
    <x v="2"/>
    <s v=""/>
    <s v=""/>
  </r>
  <r>
    <x v="434"/>
    <d v="2025-05-23T00:00:00"/>
    <x v="0"/>
    <x v="2"/>
    <n v="478"/>
    <n v="646"/>
    <n v="308788"/>
    <x v="0"/>
    <x v="1"/>
    <d v="2025-06-05T00:00:00"/>
    <n v="13"/>
  </r>
  <r>
    <x v="435"/>
    <d v="2025-05-08T00:00:00"/>
    <x v="1"/>
    <x v="1"/>
    <n v="202"/>
    <n v="882"/>
    <n v="178164"/>
    <x v="0"/>
    <x v="0"/>
    <s v=""/>
    <s v=""/>
  </r>
  <r>
    <x v="436"/>
    <d v="2025-11-25T00:00:00"/>
    <x v="1"/>
    <x v="4"/>
    <n v="424"/>
    <n v="451"/>
    <n v="191224"/>
    <x v="0"/>
    <x v="2"/>
    <s v=""/>
    <s v=""/>
  </r>
  <r>
    <x v="437"/>
    <d v="2025-10-01T00:00:00"/>
    <x v="4"/>
    <x v="8"/>
    <n v="407"/>
    <n v="1213"/>
    <n v="493691"/>
    <x v="1"/>
    <x v="1"/>
    <d v="2025-10-07T00:00:00"/>
    <n v="6"/>
  </r>
  <r>
    <x v="438"/>
    <d v="2025-05-18T00:00:00"/>
    <x v="4"/>
    <x v="2"/>
    <n v="182"/>
    <n v="916"/>
    <n v="166712"/>
    <x v="2"/>
    <x v="1"/>
    <d v="2025-05-23T00:00:00"/>
    <n v="5"/>
  </r>
  <r>
    <x v="439"/>
    <d v="2025-03-01T00:00:00"/>
    <x v="3"/>
    <x v="5"/>
    <n v="6"/>
    <n v="134"/>
    <n v="804"/>
    <x v="1"/>
    <x v="2"/>
    <s v=""/>
    <s v=""/>
  </r>
  <r>
    <x v="440"/>
    <d v="2025-03-03T00:00:00"/>
    <x v="4"/>
    <x v="0"/>
    <n v="45"/>
    <n v="1187"/>
    <n v="53415"/>
    <x v="0"/>
    <x v="2"/>
    <s v=""/>
    <s v=""/>
  </r>
  <r>
    <x v="441"/>
    <d v="2025-04-09T00:00:00"/>
    <x v="2"/>
    <x v="6"/>
    <n v="232"/>
    <n v="1761"/>
    <n v="408552"/>
    <x v="0"/>
    <x v="0"/>
    <s v=""/>
    <s v=""/>
  </r>
  <r>
    <x v="442"/>
    <d v="2025-07-10T00:00:00"/>
    <x v="1"/>
    <x v="3"/>
    <n v="336"/>
    <n v="1596"/>
    <n v="536256"/>
    <x v="2"/>
    <x v="2"/>
    <s v=""/>
    <s v=""/>
  </r>
  <r>
    <x v="443"/>
    <d v="2025-11-26T00:00:00"/>
    <x v="0"/>
    <x v="5"/>
    <n v="127"/>
    <n v="1704"/>
    <n v="216408"/>
    <x v="1"/>
    <x v="0"/>
    <s v=""/>
    <s v=""/>
  </r>
  <r>
    <x v="444"/>
    <d v="2026-01-03T00:00:00"/>
    <x v="3"/>
    <x v="2"/>
    <n v="249"/>
    <n v="325"/>
    <n v="80925"/>
    <x v="2"/>
    <x v="1"/>
    <d v="2026-01-10T00:00:00"/>
    <n v="7"/>
  </r>
  <r>
    <x v="445"/>
    <d v="2025-05-19T00:00:00"/>
    <x v="1"/>
    <x v="8"/>
    <n v="96"/>
    <n v="562"/>
    <n v="53952"/>
    <x v="1"/>
    <x v="0"/>
    <s v=""/>
    <s v=""/>
  </r>
  <r>
    <x v="446"/>
    <d v="2025-04-03T00:00:00"/>
    <x v="4"/>
    <x v="7"/>
    <n v="219"/>
    <n v="376"/>
    <n v="82344"/>
    <x v="1"/>
    <x v="0"/>
    <s v=""/>
    <s v=""/>
  </r>
  <r>
    <x v="447"/>
    <d v="2025-02-11T00:00:00"/>
    <x v="3"/>
    <x v="1"/>
    <n v="277"/>
    <n v="1283"/>
    <n v="355391"/>
    <x v="2"/>
    <x v="0"/>
    <s v=""/>
    <s v=""/>
  </r>
  <r>
    <x v="448"/>
    <d v="2025-06-05T00:00:00"/>
    <x v="0"/>
    <x v="7"/>
    <n v="318"/>
    <n v="90"/>
    <n v="28620"/>
    <x v="0"/>
    <x v="1"/>
    <d v="2025-06-14T00:00:00"/>
    <n v="9"/>
  </r>
  <r>
    <x v="449"/>
    <d v="2025-07-17T00:00:00"/>
    <x v="3"/>
    <x v="8"/>
    <n v="310"/>
    <n v="1929"/>
    <n v="597990"/>
    <x v="0"/>
    <x v="2"/>
    <s v=""/>
    <s v=""/>
  </r>
  <r>
    <x v="450"/>
    <d v="2025-09-27T00:00:00"/>
    <x v="3"/>
    <x v="8"/>
    <n v="131"/>
    <n v="42"/>
    <n v="5502"/>
    <x v="2"/>
    <x v="1"/>
    <d v="2025-10-12T00:00:00"/>
    <n v="15"/>
  </r>
  <r>
    <x v="451"/>
    <d v="2025-07-27T00:00:00"/>
    <x v="2"/>
    <x v="7"/>
    <n v="29"/>
    <n v="897"/>
    <n v="26013"/>
    <x v="1"/>
    <x v="0"/>
    <s v=""/>
    <s v=""/>
  </r>
  <r>
    <x v="452"/>
    <d v="2025-09-15T00:00:00"/>
    <x v="0"/>
    <x v="9"/>
    <n v="131"/>
    <n v="1767"/>
    <n v="231477"/>
    <x v="1"/>
    <x v="0"/>
    <s v=""/>
    <s v=""/>
  </r>
  <r>
    <x v="453"/>
    <d v="2026-01-18T00:00:00"/>
    <x v="3"/>
    <x v="8"/>
    <n v="301"/>
    <n v="843"/>
    <n v="253743"/>
    <x v="1"/>
    <x v="1"/>
    <d v="2026-01-29T00:00:00"/>
    <n v="11"/>
  </r>
  <r>
    <x v="454"/>
    <d v="2025-03-11T00:00:00"/>
    <x v="2"/>
    <x v="7"/>
    <n v="460"/>
    <n v="576"/>
    <n v="264960"/>
    <x v="2"/>
    <x v="0"/>
    <s v=""/>
    <s v=""/>
  </r>
  <r>
    <x v="455"/>
    <d v="2025-10-18T00:00:00"/>
    <x v="4"/>
    <x v="1"/>
    <n v="299"/>
    <n v="433"/>
    <n v="129467"/>
    <x v="2"/>
    <x v="0"/>
    <s v=""/>
    <s v=""/>
  </r>
  <r>
    <x v="456"/>
    <d v="2025-12-04T00:00:00"/>
    <x v="3"/>
    <x v="0"/>
    <n v="309"/>
    <n v="400"/>
    <n v="123600"/>
    <x v="2"/>
    <x v="1"/>
    <d v="2025-12-09T00:00:00"/>
    <n v="5"/>
  </r>
  <r>
    <x v="457"/>
    <d v="2026-01-01T00:00:00"/>
    <x v="3"/>
    <x v="4"/>
    <n v="400"/>
    <n v="1454"/>
    <n v="581600"/>
    <x v="1"/>
    <x v="2"/>
    <s v=""/>
    <s v=""/>
  </r>
  <r>
    <x v="458"/>
    <d v="2025-02-22T00:00:00"/>
    <x v="3"/>
    <x v="3"/>
    <n v="124"/>
    <n v="90"/>
    <n v="11160"/>
    <x v="1"/>
    <x v="1"/>
    <d v="2025-03-02T00:00:00"/>
    <n v="8"/>
  </r>
  <r>
    <x v="459"/>
    <d v="2025-08-19T00:00:00"/>
    <x v="2"/>
    <x v="7"/>
    <n v="110"/>
    <n v="1038"/>
    <n v="114180"/>
    <x v="0"/>
    <x v="2"/>
    <s v=""/>
    <s v=""/>
  </r>
  <r>
    <x v="460"/>
    <d v="2025-07-02T00:00:00"/>
    <x v="2"/>
    <x v="8"/>
    <n v="324"/>
    <n v="125"/>
    <n v="40500"/>
    <x v="2"/>
    <x v="0"/>
    <s v=""/>
    <s v=""/>
  </r>
  <r>
    <x v="461"/>
    <d v="2025-05-28T00:00:00"/>
    <x v="1"/>
    <x v="0"/>
    <n v="332"/>
    <n v="981"/>
    <n v="325692"/>
    <x v="0"/>
    <x v="0"/>
    <s v=""/>
    <s v=""/>
  </r>
  <r>
    <x v="462"/>
    <d v="2025-12-08T00:00:00"/>
    <x v="0"/>
    <x v="5"/>
    <n v="74"/>
    <n v="697"/>
    <n v="51578"/>
    <x v="2"/>
    <x v="1"/>
    <d v="2025-12-14T00:00:00"/>
    <n v="6"/>
  </r>
  <r>
    <x v="463"/>
    <d v="2025-07-18T00:00:00"/>
    <x v="4"/>
    <x v="2"/>
    <n v="219"/>
    <n v="1979"/>
    <n v="433401"/>
    <x v="0"/>
    <x v="1"/>
    <d v="2025-08-01T00:00:00"/>
    <n v="14"/>
  </r>
  <r>
    <x v="464"/>
    <d v="2025-07-15T00:00:00"/>
    <x v="3"/>
    <x v="2"/>
    <n v="210"/>
    <n v="1141"/>
    <n v="239610"/>
    <x v="2"/>
    <x v="0"/>
    <s v=""/>
    <s v=""/>
  </r>
  <r>
    <x v="465"/>
    <d v="2025-05-22T00:00:00"/>
    <x v="4"/>
    <x v="1"/>
    <n v="20"/>
    <n v="195"/>
    <n v="3900"/>
    <x v="1"/>
    <x v="0"/>
    <s v=""/>
    <s v=""/>
  </r>
  <r>
    <x v="466"/>
    <d v="2025-05-06T00:00:00"/>
    <x v="2"/>
    <x v="2"/>
    <n v="311"/>
    <n v="59"/>
    <n v="18349"/>
    <x v="2"/>
    <x v="1"/>
    <d v="2025-05-11T00:00:00"/>
    <n v="5"/>
  </r>
  <r>
    <x v="467"/>
    <d v="2026-01-09T00:00:00"/>
    <x v="4"/>
    <x v="0"/>
    <n v="254"/>
    <n v="757"/>
    <n v="192278"/>
    <x v="2"/>
    <x v="1"/>
    <d v="2026-01-20T00:00:00"/>
    <n v="11"/>
  </r>
  <r>
    <x v="468"/>
    <d v="2025-08-18T00:00:00"/>
    <x v="1"/>
    <x v="2"/>
    <n v="426"/>
    <n v="561"/>
    <n v="238986"/>
    <x v="0"/>
    <x v="2"/>
    <s v=""/>
    <s v=""/>
  </r>
  <r>
    <x v="469"/>
    <d v="2025-02-02T00:00:00"/>
    <x v="4"/>
    <x v="8"/>
    <n v="179"/>
    <n v="379"/>
    <n v="67841"/>
    <x v="1"/>
    <x v="2"/>
    <s v=""/>
    <s v=""/>
  </r>
  <r>
    <x v="470"/>
    <d v="2025-11-29T00:00:00"/>
    <x v="0"/>
    <x v="9"/>
    <n v="2"/>
    <n v="501"/>
    <n v="1002"/>
    <x v="2"/>
    <x v="1"/>
    <d v="2025-12-11T00:00:00"/>
    <n v="12"/>
  </r>
  <r>
    <x v="471"/>
    <d v="2025-09-30T00:00:00"/>
    <x v="2"/>
    <x v="6"/>
    <n v="417"/>
    <n v="1163"/>
    <n v="484971"/>
    <x v="1"/>
    <x v="0"/>
    <s v=""/>
    <s v=""/>
  </r>
  <r>
    <x v="472"/>
    <d v="2025-07-24T00:00:00"/>
    <x v="2"/>
    <x v="1"/>
    <n v="140"/>
    <n v="150"/>
    <n v="21000"/>
    <x v="2"/>
    <x v="1"/>
    <d v="2025-07-29T00:00:00"/>
    <n v="5"/>
  </r>
  <r>
    <x v="473"/>
    <d v="2026-01-17T00:00:00"/>
    <x v="0"/>
    <x v="2"/>
    <n v="403"/>
    <n v="1038"/>
    <n v="418314"/>
    <x v="1"/>
    <x v="2"/>
    <s v=""/>
    <s v=""/>
  </r>
  <r>
    <x v="474"/>
    <d v="2025-03-25T00:00:00"/>
    <x v="0"/>
    <x v="7"/>
    <n v="459"/>
    <n v="1581"/>
    <n v="725679"/>
    <x v="0"/>
    <x v="1"/>
    <d v="2025-03-31T00:00:00"/>
    <n v="6"/>
  </r>
  <r>
    <x v="475"/>
    <d v="2025-01-30T00:00:00"/>
    <x v="0"/>
    <x v="4"/>
    <n v="161"/>
    <n v="1612"/>
    <n v="259532"/>
    <x v="2"/>
    <x v="1"/>
    <d v="2025-02-14T00:00:00"/>
    <n v="15"/>
  </r>
  <r>
    <x v="476"/>
    <d v="2025-04-19T00:00:00"/>
    <x v="4"/>
    <x v="5"/>
    <n v="11"/>
    <n v="1409"/>
    <n v="15499"/>
    <x v="0"/>
    <x v="2"/>
    <s v=""/>
    <s v=""/>
  </r>
  <r>
    <x v="477"/>
    <d v="2025-09-13T00:00:00"/>
    <x v="4"/>
    <x v="2"/>
    <n v="54"/>
    <n v="1557"/>
    <n v="84078"/>
    <x v="0"/>
    <x v="1"/>
    <d v="2025-09-22T00:00:00"/>
    <n v="9"/>
  </r>
  <r>
    <x v="478"/>
    <d v="2025-07-16T00:00:00"/>
    <x v="3"/>
    <x v="4"/>
    <n v="207"/>
    <n v="1544"/>
    <n v="319608"/>
    <x v="0"/>
    <x v="0"/>
    <s v=""/>
    <s v=""/>
  </r>
  <r>
    <x v="479"/>
    <d v="2025-02-11T00:00:00"/>
    <x v="4"/>
    <x v="9"/>
    <n v="386"/>
    <n v="1470"/>
    <n v="567420"/>
    <x v="0"/>
    <x v="1"/>
    <d v="2025-02-26T00:00:00"/>
    <n v="15"/>
  </r>
  <r>
    <x v="480"/>
    <d v="2025-08-13T00:00:00"/>
    <x v="0"/>
    <x v="6"/>
    <n v="80"/>
    <n v="963"/>
    <n v="77040"/>
    <x v="2"/>
    <x v="0"/>
    <s v=""/>
    <s v=""/>
  </r>
  <r>
    <x v="481"/>
    <d v="2025-12-27T00:00:00"/>
    <x v="0"/>
    <x v="2"/>
    <n v="4"/>
    <n v="481"/>
    <n v="1924"/>
    <x v="0"/>
    <x v="2"/>
    <s v=""/>
    <s v=""/>
  </r>
  <r>
    <x v="482"/>
    <d v="2025-01-16T00:00:00"/>
    <x v="1"/>
    <x v="2"/>
    <n v="96"/>
    <n v="218"/>
    <n v="20928"/>
    <x v="1"/>
    <x v="1"/>
    <d v="2025-01-29T00:00:00"/>
    <n v="13"/>
  </r>
  <r>
    <x v="483"/>
    <d v="2025-10-21T00:00:00"/>
    <x v="0"/>
    <x v="7"/>
    <n v="429"/>
    <n v="1670"/>
    <n v="716430"/>
    <x v="0"/>
    <x v="1"/>
    <d v="2025-11-01T00:00:00"/>
    <n v="11"/>
  </r>
  <r>
    <x v="484"/>
    <d v="2026-01-13T00:00:00"/>
    <x v="3"/>
    <x v="0"/>
    <n v="473"/>
    <n v="622"/>
    <n v="294206"/>
    <x v="0"/>
    <x v="1"/>
    <d v="2026-01-21T00:00:00"/>
    <n v="8"/>
  </r>
  <r>
    <x v="485"/>
    <d v="2025-11-22T00:00:00"/>
    <x v="2"/>
    <x v="7"/>
    <n v="244"/>
    <n v="316"/>
    <n v="77104"/>
    <x v="2"/>
    <x v="2"/>
    <s v=""/>
    <s v=""/>
  </r>
  <r>
    <x v="486"/>
    <d v="2025-04-03T00:00:00"/>
    <x v="2"/>
    <x v="1"/>
    <n v="322"/>
    <n v="1987"/>
    <n v="639814"/>
    <x v="2"/>
    <x v="1"/>
    <d v="2025-04-10T00:00:00"/>
    <n v="7"/>
  </r>
  <r>
    <x v="487"/>
    <d v="2025-12-17T00:00:00"/>
    <x v="0"/>
    <x v="2"/>
    <n v="476"/>
    <n v="538"/>
    <n v="256088"/>
    <x v="2"/>
    <x v="0"/>
    <s v=""/>
    <s v=""/>
  </r>
  <r>
    <x v="488"/>
    <d v="2025-06-27T00:00:00"/>
    <x v="2"/>
    <x v="1"/>
    <n v="20"/>
    <n v="1948"/>
    <n v="38960"/>
    <x v="1"/>
    <x v="1"/>
    <d v="2025-07-09T00:00:00"/>
    <n v="12"/>
  </r>
  <r>
    <x v="489"/>
    <d v="2025-12-31T00:00:00"/>
    <x v="0"/>
    <x v="4"/>
    <n v="310"/>
    <n v="1260"/>
    <n v="390600"/>
    <x v="0"/>
    <x v="2"/>
    <s v=""/>
    <s v=""/>
  </r>
  <r>
    <x v="490"/>
    <d v="2025-03-04T00:00:00"/>
    <x v="1"/>
    <x v="2"/>
    <n v="496"/>
    <n v="1272"/>
    <n v="630912"/>
    <x v="0"/>
    <x v="0"/>
    <s v=""/>
    <s v=""/>
  </r>
  <r>
    <x v="491"/>
    <d v="2025-01-15T00:00:00"/>
    <x v="4"/>
    <x v="9"/>
    <n v="396"/>
    <n v="41"/>
    <n v="16236"/>
    <x v="0"/>
    <x v="2"/>
    <s v=""/>
    <s v=""/>
  </r>
  <r>
    <x v="492"/>
    <d v="2025-09-25T00:00:00"/>
    <x v="4"/>
    <x v="7"/>
    <n v="452"/>
    <n v="326"/>
    <n v="147352"/>
    <x v="1"/>
    <x v="0"/>
    <s v=""/>
    <s v=""/>
  </r>
  <r>
    <x v="493"/>
    <d v="2025-11-10T00:00:00"/>
    <x v="2"/>
    <x v="7"/>
    <n v="143"/>
    <n v="316"/>
    <n v="45188"/>
    <x v="2"/>
    <x v="1"/>
    <d v="2025-11-24T00:00:00"/>
    <n v="14"/>
  </r>
  <r>
    <x v="494"/>
    <d v="2026-01-25T00:00:00"/>
    <x v="2"/>
    <x v="6"/>
    <n v="212"/>
    <n v="1331"/>
    <n v="282172"/>
    <x v="2"/>
    <x v="0"/>
    <s v=""/>
    <s v=""/>
  </r>
  <r>
    <x v="495"/>
    <d v="2025-11-12T00:00:00"/>
    <x v="1"/>
    <x v="2"/>
    <n v="285"/>
    <n v="1240"/>
    <n v="353400"/>
    <x v="2"/>
    <x v="1"/>
    <d v="2025-11-17T00:00:00"/>
    <n v="5"/>
  </r>
  <r>
    <x v="496"/>
    <d v="2025-04-18T00:00:00"/>
    <x v="4"/>
    <x v="4"/>
    <n v="307"/>
    <n v="1368"/>
    <n v="419976"/>
    <x v="1"/>
    <x v="2"/>
    <s v=""/>
    <s v=""/>
  </r>
  <r>
    <x v="497"/>
    <d v="2025-03-14T00:00:00"/>
    <x v="1"/>
    <x v="8"/>
    <n v="419"/>
    <n v="188"/>
    <n v="78772"/>
    <x v="2"/>
    <x v="0"/>
    <s v=""/>
    <s v=""/>
  </r>
  <r>
    <x v="498"/>
    <d v="2025-11-24T00:00:00"/>
    <x v="0"/>
    <x v="9"/>
    <n v="105"/>
    <n v="1594"/>
    <n v="167370"/>
    <x v="1"/>
    <x v="1"/>
    <d v="2025-12-05T00:00:00"/>
    <n v="11"/>
  </r>
  <r>
    <x v="499"/>
    <d v="2025-04-22T00:00:00"/>
    <x v="2"/>
    <x v="3"/>
    <n v="326"/>
    <n v="668"/>
    <n v="217768"/>
    <x v="0"/>
    <x v="1"/>
    <d v="2025-04-27T00:00:00"/>
    <n v="5"/>
  </r>
  <r>
    <x v="500"/>
    <d v="2025-08-07T00:00:00"/>
    <x v="1"/>
    <x v="3"/>
    <n v="138"/>
    <n v="356"/>
    <n v="49128"/>
    <x v="1"/>
    <x v="0"/>
    <s v=""/>
    <s v=""/>
  </r>
  <r>
    <x v="501"/>
    <d v="2026-01-04T00:00:00"/>
    <x v="2"/>
    <x v="0"/>
    <n v="197"/>
    <n v="58"/>
    <n v="11426"/>
    <x v="2"/>
    <x v="2"/>
    <s v=""/>
    <s v=""/>
  </r>
  <r>
    <x v="502"/>
    <d v="2025-01-02T00:00:00"/>
    <x v="0"/>
    <x v="3"/>
    <n v="109"/>
    <n v="882"/>
    <n v="96138"/>
    <x v="1"/>
    <x v="0"/>
    <s v=""/>
    <s v=""/>
  </r>
  <r>
    <x v="503"/>
    <d v="2025-05-02T00:00:00"/>
    <x v="2"/>
    <x v="2"/>
    <n v="311"/>
    <n v="1489"/>
    <n v="463079"/>
    <x v="1"/>
    <x v="0"/>
    <s v=""/>
    <s v=""/>
  </r>
  <r>
    <x v="504"/>
    <d v="2025-08-03T00:00:00"/>
    <x v="2"/>
    <x v="9"/>
    <n v="311"/>
    <n v="267"/>
    <n v="83037"/>
    <x v="2"/>
    <x v="0"/>
    <s v=""/>
    <s v=""/>
  </r>
  <r>
    <x v="505"/>
    <d v="2025-11-27T00:00:00"/>
    <x v="4"/>
    <x v="9"/>
    <n v="195"/>
    <n v="979"/>
    <n v="190905"/>
    <x v="1"/>
    <x v="2"/>
    <s v=""/>
    <s v=""/>
  </r>
  <r>
    <x v="506"/>
    <d v="2025-07-15T00:00:00"/>
    <x v="0"/>
    <x v="8"/>
    <n v="370"/>
    <n v="221"/>
    <n v="81770"/>
    <x v="0"/>
    <x v="2"/>
    <s v=""/>
    <s v=""/>
  </r>
  <r>
    <x v="507"/>
    <d v="2025-06-29T00:00:00"/>
    <x v="1"/>
    <x v="6"/>
    <n v="216"/>
    <n v="718"/>
    <n v="155088"/>
    <x v="1"/>
    <x v="1"/>
    <d v="2025-07-09T00:00:00"/>
    <n v="10"/>
  </r>
  <r>
    <x v="508"/>
    <d v="2025-08-08T00:00:00"/>
    <x v="1"/>
    <x v="5"/>
    <n v="199"/>
    <n v="1027"/>
    <n v="204373"/>
    <x v="0"/>
    <x v="2"/>
    <s v=""/>
    <s v=""/>
  </r>
  <r>
    <x v="509"/>
    <d v="2025-04-19T00:00:00"/>
    <x v="4"/>
    <x v="9"/>
    <n v="124"/>
    <n v="884"/>
    <n v="109616"/>
    <x v="0"/>
    <x v="0"/>
    <s v=""/>
    <s v=""/>
  </r>
  <r>
    <x v="510"/>
    <d v="2025-08-24T00:00:00"/>
    <x v="2"/>
    <x v="0"/>
    <n v="6"/>
    <n v="434"/>
    <n v="2604"/>
    <x v="0"/>
    <x v="0"/>
    <s v=""/>
    <s v=""/>
  </r>
  <r>
    <x v="511"/>
    <d v="2025-03-14T00:00:00"/>
    <x v="3"/>
    <x v="6"/>
    <n v="301"/>
    <n v="504"/>
    <n v="151704"/>
    <x v="0"/>
    <x v="0"/>
    <s v=""/>
    <s v=""/>
  </r>
  <r>
    <x v="512"/>
    <d v="2025-07-30T00:00:00"/>
    <x v="2"/>
    <x v="8"/>
    <n v="253"/>
    <n v="1196"/>
    <n v="302588"/>
    <x v="2"/>
    <x v="0"/>
    <s v=""/>
    <s v=""/>
  </r>
  <r>
    <x v="513"/>
    <d v="2025-01-14T00:00:00"/>
    <x v="3"/>
    <x v="1"/>
    <n v="223"/>
    <n v="764"/>
    <n v="170372"/>
    <x v="1"/>
    <x v="1"/>
    <d v="2025-01-20T00:00:00"/>
    <n v="6"/>
  </r>
  <r>
    <x v="514"/>
    <d v="2025-09-09T00:00:00"/>
    <x v="3"/>
    <x v="9"/>
    <n v="450"/>
    <n v="1621"/>
    <n v="729450"/>
    <x v="0"/>
    <x v="0"/>
    <s v=""/>
    <s v=""/>
  </r>
  <r>
    <x v="515"/>
    <d v="2025-09-25T00:00:00"/>
    <x v="4"/>
    <x v="9"/>
    <n v="415"/>
    <n v="947"/>
    <n v="393005"/>
    <x v="1"/>
    <x v="0"/>
    <s v=""/>
    <s v=""/>
  </r>
  <r>
    <x v="516"/>
    <d v="2025-06-26T00:00:00"/>
    <x v="3"/>
    <x v="7"/>
    <n v="55"/>
    <n v="1203"/>
    <n v="66165"/>
    <x v="1"/>
    <x v="2"/>
    <s v=""/>
    <s v=""/>
  </r>
  <r>
    <x v="517"/>
    <d v="2025-12-03T00:00:00"/>
    <x v="1"/>
    <x v="8"/>
    <n v="449"/>
    <n v="308"/>
    <n v="138292"/>
    <x v="0"/>
    <x v="1"/>
    <d v="2025-12-08T00:00:00"/>
    <n v="5"/>
  </r>
  <r>
    <x v="518"/>
    <d v="2025-02-14T00:00:00"/>
    <x v="1"/>
    <x v="2"/>
    <n v="107"/>
    <n v="122"/>
    <n v="13054"/>
    <x v="0"/>
    <x v="0"/>
    <s v=""/>
    <s v=""/>
  </r>
  <r>
    <x v="519"/>
    <d v="2025-04-22T00:00:00"/>
    <x v="1"/>
    <x v="9"/>
    <n v="154"/>
    <n v="1045"/>
    <n v="160930"/>
    <x v="2"/>
    <x v="2"/>
    <s v=""/>
    <s v=""/>
  </r>
  <r>
    <x v="520"/>
    <d v="2025-04-26T00:00:00"/>
    <x v="0"/>
    <x v="9"/>
    <n v="231"/>
    <n v="836"/>
    <n v="193116"/>
    <x v="0"/>
    <x v="1"/>
    <d v="2025-05-11T00:00:00"/>
    <n v="15"/>
  </r>
  <r>
    <x v="521"/>
    <d v="2025-08-13T00:00:00"/>
    <x v="1"/>
    <x v="9"/>
    <n v="279"/>
    <n v="1863"/>
    <n v="519777"/>
    <x v="2"/>
    <x v="2"/>
    <s v=""/>
    <s v=""/>
  </r>
  <r>
    <x v="522"/>
    <d v="2025-11-19T00:00:00"/>
    <x v="2"/>
    <x v="6"/>
    <n v="309"/>
    <n v="474"/>
    <n v="146466"/>
    <x v="0"/>
    <x v="0"/>
    <s v=""/>
    <s v=""/>
  </r>
  <r>
    <x v="523"/>
    <d v="2025-01-19T00:00:00"/>
    <x v="2"/>
    <x v="5"/>
    <n v="1"/>
    <n v="436"/>
    <n v="436"/>
    <x v="0"/>
    <x v="1"/>
    <d v="2025-02-03T00:00:00"/>
    <n v="15"/>
  </r>
  <r>
    <x v="524"/>
    <d v="2025-11-19T00:00:00"/>
    <x v="4"/>
    <x v="5"/>
    <n v="187"/>
    <n v="113"/>
    <n v="21131"/>
    <x v="2"/>
    <x v="0"/>
    <s v=""/>
    <s v=""/>
  </r>
  <r>
    <x v="525"/>
    <d v="2025-11-15T00:00:00"/>
    <x v="2"/>
    <x v="1"/>
    <n v="415"/>
    <n v="1544"/>
    <n v="640760"/>
    <x v="1"/>
    <x v="2"/>
    <s v=""/>
    <s v=""/>
  </r>
  <r>
    <x v="526"/>
    <d v="2025-05-09T00:00:00"/>
    <x v="1"/>
    <x v="0"/>
    <n v="99"/>
    <n v="1170"/>
    <n v="115830"/>
    <x v="0"/>
    <x v="1"/>
    <d v="2025-05-16T00:00:00"/>
    <n v="7"/>
  </r>
  <r>
    <x v="527"/>
    <d v="2025-09-11T00:00:00"/>
    <x v="3"/>
    <x v="1"/>
    <n v="272"/>
    <n v="600"/>
    <n v="163200"/>
    <x v="0"/>
    <x v="1"/>
    <d v="2025-09-19T00:00:00"/>
    <n v="8"/>
  </r>
  <r>
    <x v="528"/>
    <d v="2025-02-14T00:00:00"/>
    <x v="0"/>
    <x v="9"/>
    <n v="295"/>
    <n v="764"/>
    <n v="225380"/>
    <x v="1"/>
    <x v="2"/>
    <s v=""/>
    <s v=""/>
  </r>
  <r>
    <x v="529"/>
    <d v="2025-03-07T00:00:00"/>
    <x v="2"/>
    <x v="0"/>
    <n v="201"/>
    <n v="1875"/>
    <n v="376875"/>
    <x v="1"/>
    <x v="0"/>
    <s v=""/>
    <s v=""/>
  </r>
  <r>
    <x v="530"/>
    <d v="2025-11-07T00:00:00"/>
    <x v="4"/>
    <x v="2"/>
    <n v="178"/>
    <n v="1034"/>
    <n v="184052"/>
    <x v="1"/>
    <x v="2"/>
    <s v=""/>
    <s v=""/>
  </r>
  <r>
    <x v="531"/>
    <d v="2025-01-18T00:00:00"/>
    <x v="4"/>
    <x v="9"/>
    <n v="496"/>
    <n v="883"/>
    <n v="437968"/>
    <x v="2"/>
    <x v="2"/>
    <s v=""/>
    <s v=""/>
  </r>
  <r>
    <x v="532"/>
    <d v="2025-05-11T00:00:00"/>
    <x v="1"/>
    <x v="6"/>
    <n v="251"/>
    <n v="986"/>
    <n v="247486"/>
    <x v="2"/>
    <x v="1"/>
    <d v="2025-05-20T00:00:00"/>
    <n v="9"/>
  </r>
  <r>
    <x v="533"/>
    <d v="2025-03-31T00:00:00"/>
    <x v="4"/>
    <x v="0"/>
    <n v="412"/>
    <n v="28"/>
    <n v="11536"/>
    <x v="2"/>
    <x v="1"/>
    <d v="2025-04-12T00:00:00"/>
    <n v="12"/>
  </r>
  <r>
    <x v="534"/>
    <d v="2025-02-27T00:00:00"/>
    <x v="1"/>
    <x v="7"/>
    <n v="152"/>
    <n v="791"/>
    <n v="120232"/>
    <x v="2"/>
    <x v="2"/>
    <s v=""/>
    <s v=""/>
  </r>
  <r>
    <x v="535"/>
    <d v="2025-05-07T00:00:00"/>
    <x v="4"/>
    <x v="2"/>
    <n v="498"/>
    <n v="748"/>
    <n v="372504"/>
    <x v="2"/>
    <x v="0"/>
    <s v=""/>
    <s v=""/>
  </r>
  <r>
    <x v="536"/>
    <d v="2025-07-18T00:00:00"/>
    <x v="2"/>
    <x v="5"/>
    <n v="415"/>
    <n v="1931"/>
    <n v="801365"/>
    <x v="1"/>
    <x v="1"/>
    <d v="2025-07-23T00:00:00"/>
    <n v="5"/>
  </r>
  <r>
    <x v="537"/>
    <d v="2025-08-05T00:00:00"/>
    <x v="1"/>
    <x v="0"/>
    <n v="473"/>
    <n v="1432"/>
    <n v="677336"/>
    <x v="1"/>
    <x v="1"/>
    <d v="2025-08-17T00:00:00"/>
    <n v="12"/>
  </r>
  <r>
    <x v="538"/>
    <d v="2025-01-27T00:00:00"/>
    <x v="0"/>
    <x v="4"/>
    <n v="40"/>
    <n v="953"/>
    <n v="38120"/>
    <x v="1"/>
    <x v="1"/>
    <d v="2025-02-07T00:00:00"/>
    <n v="11"/>
  </r>
  <r>
    <x v="539"/>
    <d v="2025-05-23T00:00:00"/>
    <x v="3"/>
    <x v="6"/>
    <n v="435"/>
    <n v="950"/>
    <n v="413250"/>
    <x v="2"/>
    <x v="2"/>
    <s v=""/>
    <s v=""/>
  </r>
  <r>
    <x v="540"/>
    <d v="2026-01-19T00:00:00"/>
    <x v="4"/>
    <x v="8"/>
    <n v="423"/>
    <n v="439"/>
    <n v="185697"/>
    <x v="2"/>
    <x v="0"/>
    <s v=""/>
    <s v=""/>
  </r>
  <r>
    <x v="541"/>
    <d v="2026-01-26T00:00:00"/>
    <x v="1"/>
    <x v="6"/>
    <n v="296"/>
    <n v="1752"/>
    <n v="518592"/>
    <x v="1"/>
    <x v="2"/>
    <s v=""/>
    <s v=""/>
  </r>
  <r>
    <x v="542"/>
    <d v="2025-02-17T00:00:00"/>
    <x v="1"/>
    <x v="6"/>
    <n v="226"/>
    <n v="884"/>
    <n v="199784"/>
    <x v="2"/>
    <x v="1"/>
    <d v="2025-03-02T00:00:00"/>
    <n v="13"/>
  </r>
  <r>
    <x v="543"/>
    <d v="2025-12-10T00:00:00"/>
    <x v="2"/>
    <x v="0"/>
    <n v="5"/>
    <n v="1255"/>
    <n v="6275"/>
    <x v="2"/>
    <x v="1"/>
    <d v="2025-12-19T00:00:00"/>
    <n v="9"/>
  </r>
  <r>
    <x v="544"/>
    <d v="2025-08-26T00:00:00"/>
    <x v="1"/>
    <x v="2"/>
    <n v="28"/>
    <n v="952"/>
    <n v="26656"/>
    <x v="0"/>
    <x v="2"/>
    <s v=""/>
    <s v=""/>
  </r>
  <r>
    <x v="545"/>
    <d v="2025-07-22T00:00:00"/>
    <x v="2"/>
    <x v="2"/>
    <n v="470"/>
    <n v="1589"/>
    <n v="746830"/>
    <x v="2"/>
    <x v="1"/>
    <d v="2025-08-04T00:00:00"/>
    <n v="13"/>
  </r>
  <r>
    <x v="546"/>
    <d v="2025-01-15T00:00:00"/>
    <x v="1"/>
    <x v="9"/>
    <n v="382"/>
    <n v="1743"/>
    <n v="665826"/>
    <x v="2"/>
    <x v="1"/>
    <d v="2025-01-25T00:00:00"/>
    <n v="10"/>
  </r>
  <r>
    <x v="547"/>
    <d v="2025-01-08T00:00:00"/>
    <x v="0"/>
    <x v="9"/>
    <n v="107"/>
    <n v="1204"/>
    <n v="128828"/>
    <x v="1"/>
    <x v="2"/>
    <s v=""/>
    <s v=""/>
  </r>
  <r>
    <x v="548"/>
    <d v="2025-04-24T00:00:00"/>
    <x v="4"/>
    <x v="7"/>
    <n v="304"/>
    <n v="979"/>
    <n v="297616"/>
    <x v="2"/>
    <x v="0"/>
    <s v=""/>
    <s v=""/>
  </r>
  <r>
    <x v="549"/>
    <d v="2025-01-06T00:00:00"/>
    <x v="3"/>
    <x v="5"/>
    <n v="84"/>
    <n v="1378"/>
    <n v="115752"/>
    <x v="1"/>
    <x v="2"/>
    <s v=""/>
    <s v=""/>
  </r>
  <r>
    <x v="550"/>
    <d v="2025-05-07T00:00:00"/>
    <x v="1"/>
    <x v="8"/>
    <n v="148"/>
    <n v="650"/>
    <n v="96200"/>
    <x v="1"/>
    <x v="1"/>
    <d v="2025-05-22T00:00:00"/>
    <n v="15"/>
  </r>
  <r>
    <x v="551"/>
    <d v="2025-02-13T00:00:00"/>
    <x v="1"/>
    <x v="0"/>
    <n v="177"/>
    <n v="1614"/>
    <n v="285678"/>
    <x v="2"/>
    <x v="0"/>
    <s v=""/>
    <s v=""/>
  </r>
  <r>
    <x v="552"/>
    <d v="2025-09-11T00:00:00"/>
    <x v="1"/>
    <x v="5"/>
    <n v="27"/>
    <n v="194"/>
    <n v="5238"/>
    <x v="1"/>
    <x v="0"/>
    <s v=""/>
    <s v=""/>
  </r>
  <r>
    <x v="553"/>
    <d v="2025-04-25T00:00:00"/>
    <x v="4"/>
    <x v="3"/>
    <n v="166"/>
    <n v="656"/>
    <n v="108896"/>
    <x v="0"/>
    <x v="0"/>
    <s v=""/>
    <s v=""/>
  </r>
  <r>
    <x v="554"/>
    <d v="2025-10-23T00:00:00"/>
    <x v="3"/>
    <x v="4"/>
    <n v="403"/>
    <n v="447"/>
    <n v="180141"/>
    <x v="2"/>
    <x v="1"/>
    <d v="2025-11-03T00:00:00"/>
    <n v="11"/>
  </r>
  <r>
    <x v="555"/>
    <d v="2025-02-24T00:00:00"/>
    <x v="4"/>
    <x v="1"/>
    <n v="434"/>
    <n v="681"/>
    <n v="295554"/>
    <x v="2"/>
    <x v="1"/>
    <d v="2025-03-04T00:00:00"/>
    <n v="8"/>
  </r>
  <r>
    <x v="556"/>
    <d v="2026-01-22T00:00:00"/>
    <x v="2"/>
    <x v="9"/>
    <n v="68"/>
    <n v="1554"/>
    <n v="105672"/>
    <x v="2"/>
    <x v="2"/>
    <s v=""/>
    <s v=""/>
  </r>
  <r>
    <x v="557"/>
    <d v="2025-08-08T00:00:00"/>
    <x v="0"/>
    <x v="1"/>
    <n v="220"/>
    <n v="985"/>
    <n v="216700"/>
    <x v="0"/>
    <x v="2"/>
    <s v=""/>
    <s v=""/>
  </r>
  <r>
    <x v="558"/>
    <d v="2025-04-14T00:00:00"/>
    <x v="2"/>
    <x v="6"/>
    <n v="260"/>
    <n v="1919"/>
    <n v="498940"/>
    <x v="2"/>
    <x v="1"/>
    <d v="2025-04-28T00:00:00"/>
    <n v="14"/>
  </r>
  <r>
    <x v="559"/>
    <d v="2025-07-29T00:00:00"/>
    <x v="1"/>
    <x v="9"/>
    <n v="457"/>
    <n v="1681"/>
    <n v="768217"/>
    <x v="2"/>
    <x v="2"/>
    <s v=""/>
    <s v=""/>
  </r>
  <r>
    <x v="560"/>
    <d v="2025-09-04T00:00:00"/>
    <x v="3"/>
    <x v="0"/>
    <n v="492"/>
    <n v="478"/>
    <n v="235176"/>
    <x v="1"/>
    <x v="0"/>
    <s v=""/>
    <s v=""/>
  </r>
  <r>
    <x v="561"/>
    <d v="2025-01-30T00:00:00"/>
    <x v="3"/>
    <x v="5"/>
    <n v="452"/>
    <n v="704"/>
    <n v="318208"/>
    <x v="2"/>
    <x v="1"/>
    <d v="2025-02-11T00:00:00"/>
    <n v="12"/>
  </r>
  <r>
    <x v="562"/>
    <d v="2025-04-16T00:00:00"/>
    <x v="1"/>
    <x v="0"/>
    <n v="277"/>
    <n v="1272"/>
    <n v="352344"/>
    <x v="0"/>
    <x v="1"/>
    <d v="2025-04-21T00:00:00"/>
    <n v="5"/>
  </r>
  <r>
    <x v="563"/>
    <d v="2025-11-13T00:00:00"/>
    <x v="3"/>
    <x v="5"/>
    <n v="124"/>
    <n v="486"/>
    <n v="60264"/>
    <x v="1"/>
    <x v="2"/>
    <s v=""/>
    <s v=""/>
  </r>
  <r>
    <x v="564"/>
    <d v="2025-02-22T00:00:00"/>
    <x v="3"/>
    <x v="6"/>
    <n v="117"/>
    <n v="1943"/>
    <n v="227331"/>
    <x v="1"/>
    <x v="1"/>
    <d v="2025-03-05T00:00:00"/>
    <n v="11"/>
  </r>
  <r>
    <x v="565"/>
    <d v="2025-12-05T00:00:00"/>
    <x v="0"/>
    <x v="8"/>
    <n v="85"/>
    <n v="1872"/>
    <n v="159120"/>
    <x v="2"/>
    <x v="2"/>
    <s v=""/>
    <s v=""/>
  </r>
  <r>
    <x v="566"/>
    <d v="2025-03-31T00:00:00"/>
    <x v="1"/>
    <x v="2"/>
    <n v="446"/>
    <n v="1704"/>
    <n v="759984"/>
    <x v="0"/>
    <x v="2"/>
    <s v=""/>
    <s v=""/>
  </r>
  <r>
    <x v="567"/>
    <d v="2025-11-27T00:00:00"/>
    <x v="2"/>
    <x v="3"/>
    <n v="339"/>
    <n v="329"/>
    <n v="111531"/>
    <x v="2"/>
    <x v="2"/>
    <s v=""/>
    <s v=""/>
  </r>
  <r>
    <x v="568"/>
    <d v="2025-12-30T00:00:00"/>
    <x v="4"/>
    <x v="1"/>
    <n v="316"/>
    <n v="1528"/>
    <n v="482848"/>
    <x v="1"/>
    <x v="0"/>
    <s v=""/>
    <s v=""/>
  </r>
  <r>
    <x v="569"/>
    <d v="2025-05-12T00:00:00"/>
    <x v="0"/>
    <x v="3"/>
    <n v="199"/>
    <n v="1109"/>
    <n v="220691"/>
    <x v="2"/>
    <x v="1"/>
    <d v="2025-05-17T00:00:00"/>
    <n v="5"/>
  </r>
  <r>
    <x v="570"/>
    <d v="2025-02-02T00:00:00"/>
    <x v="0"/>
    <x v="5"/>
    <n v="455"/>
    <n v="810"/>
    <n v="368550"/>
    <x v="2"/>
    <x v="0"/>
    <s v=""/>
    <s v=""/>
  </r>
  <r>
    <x v="571"/>
    <d v="2025-11-26T00:00:00"/>
    <x v="4"/>
    <x v="1"/>
    <n v="222"/>
    <n v="1272"/>
    <n v="282384"/>
    <x v="0"/>
    <x v="1"/>
    <d v="2025-12-06T00:00:00"/>
    <n v="10"/>
  </r>
  <r>
    <x v="572"/>
    <d v="2026-01-27T00:00:00"/>
    <x v="3"/>
    <x v="8"/>
    <n v="392"/>
    <n v="1437"/>
    <n v="563304"/>
    <x v="1"/>
    <x v="2"/>
    <s v=""/>
    <s v=""/>
  </r>
  <r>
    <x v="573"/>
    <d v="2025-11-24T00:00:00"/>
    <x v="3"/>
    <x v="8"/>
    <n v="444"/>
    <n v="1892"/>
    <n v="840048"/>
    <x v="0"/>
    <x v="2"/>
    <s v=""/>
    <s v=""/>
  </r>
  <r>
    <x v="574"/>
    <d v="2025-06-18T00:00:00"/>
    <x v="0"/>
    <x v="2"/>
    <n v="397"/>
    <n v="31"/>
    <n v="12307"/>
    <x v="2"/>
    <x v="1"/>
    <d v="2025-07-02T00:00:00"/>
    <n v="14"/>
  </r>
  <r>
    <x v="575"/>
    <d v="2025-12-16T00:00:00"/>
    <x v="4"/>
    <x v="2"/>
    <n v="186"/>
    <n v="91"/>
    <n v="16926"/>
    <x v="2"/>
    <x v="0"/>
    <s v=""/>
    <s v=""/>
  </r>
  <r>
    <x v="576"/>
    <d v="2025-04-11T00:00:00"/>
    <x v="4"/>
    <x v="5"/>
    <n v="118"/>
    <n v="1823"/>
    <n v="215114"/>
    <x v="0"/>
    <x v="1"/>
    <d v="2025-04-23T00:00:00"/>
    <n v="12"/>
  </r>
  <r>
    <x v="577"/>
    <d v="2025-03-16T00:00:00"/>
    <x v="1"/>
    <x v="5"/>
    <n v="118"/>
    <n v="1241"/>
    <n v="146438"/>
    <x v="0"/>
    <x v="0"/>
    <s v=""/>
    <s v=""/>
  </r>
  <r>
    <x v="578"/>
    <d v="2026-01-05T00:00:00"/>
    <x v="0"/>
    <x v="3"/>
    <n v="40"/>
    <n v="323"/>
    <n v="12920"/>
    <x v="0"/>
    <x v="2"/>
    <s v=""/>
    <s v=""/>
  </r>
  <r>
    <x v="579"/>
    <d v="2025-12-21T00:00:00"/>
    <x v="1"/>
    <x v="2"/>
    <n v="4"/>
    <n v="909"/>
    <n v="3636"/>
    <x v="2"/>
    <x v="0"/>
    <s v=""/>
    <s v=""/>
  </r>
  <r>
    <x v="580"/>
    <d v="2025-01-18T00:00:00"/>
    <x v="2"/>
    <x v="2"/>
    <n v="432"/>
    <n v="510"/>
    <n v="220320"/>
    <x v="1"/>
    <x v="0"/>
    <s v=""/>
    <s v=""/>
  </r>
  <r>
    <x v="581"/>
    <d v="2025-07-06T00:00:00"/>
    <x v="2"/>
    <x v="0"/>
    <n v="58"/>
    <n v="441"/>
    <n v="25578"/>
    <x v="0"/>
    <x v="0"/>
    <s v=""/>
    <s v=""/>
  </r>
  <r>
    <x v="582"/>
    <d v="2025-12-21T00:00:00"/>
    <x v="1"/>
    <x v="3"/>
    <n v="438"/>
    <n v="998"/>
    <n v="437124"/>
    <x v="2"/>
    <x v="2"/>
    <s v=""/>
    <s v=""/>
  </r>
  <r>
    <x v="583"/>
    <d v="2025-02-12T00:00:00"/>
    <x v="3"/>
    <x v="8"/>
    <n v="497"/>
    <n v="349"/>
    <n v="173453"/>
    <x v="2"/>
    <x v="0"/>
    <s v=""/>
    <s v=""/>
  </r>
  <r>
    <x v="584"/>
    <d v="2025-06-12T00:00:00"/>
    <x v="3"/>
    <x v="6"/>
    <n v="81"/>
    <n v="59"/>
    <n v="4779"/>
    <x v="1"/>
    <x v="0"/>
    <s v=""/>
    <s v=""/>
  </r>
  <r>
    <x v="585"/>
    <d v="2025-02-16T00:00:00"/>
    <x v="4"/>
    <x v="3"/>
    <n v="307"/>
    <n v="638"/>
    <n v="195866"/>
    <x v="0"/>
    <x v="1"/>
    <d v="2025-03-01T00:00:00"/>
    <n v="13"/>
  </r>
  <r>
    <x v="586"/>
    <d v="2025-02-03T00:00:00"/>
    <x v="3"/>
    <x v="1"/>
    <n v="300"/>
    <n v="339"/>
    <n v="101700"/>
    <x v="0"/>
    <x v="1"/>
    <d v="2025-02-16T00:00:00"/>
    <n v="13"/>
  </r>
  <r>
    <x v="587"/>
    <d v="2025-06-11T00:00:00"/>
    <x v="0"/>
    <x v="0"/>
    <n v="482"/>
    <n v="1493"/>
    <n v="719626"/>
    <x v="1"/>
    <x v="1"/>
    <d v="2025-06-19T00:00:00"/>
    <n v="8"/>
  </r>
  <r>
    <x v="588"/>
    <d v="2025-02-20T00:00:00"/>
    <x v="1"/>
    <x v="4"/>
    <n v="125"/>
    <n v="1123"/>
    <n v="140375"/>
    <x v="0"/>
    <x v="2"/>
    <s v=""/>
    <s v=""/>
  </r>
  <r>
    <x v="589"/>
    <d v="2025-11-29T00:00:00"/>
    <x v="3"/>
    <x v="3"/>
    <n v="276"/>
    <n v="885"/>
    <n v="244260"/>
    <x v="0"/>
    <x v="1"/>
    <d v="2025-12-13T00:00:00"/>
    <n v="14"/>
  </r>
  <r>
    <x v="590"/>
    <d v="2025-06-05T00:00:00"/>
    <x v="4"/>
    <x v="0"/>
    <n v="173"/>
    <n v="1457"/>
    <n v="252061"/>
    <x v="2"/>
    <x v="2"/>
    <s v=""/>
    <s v=""/>
  </r>
  <r>
    <x v="591"/>
    <d v="2025-10-30T00:00:00"/>
    <x v="1"/>
    <x v="3"/>
    <n v="165"/>
    <n v="1868"/>
    <n v="308220"/>
    <x v="0"/>
    <x v="2"/>
    <s v=""/>
    <s v=""/>
  </r>
  <r>
    <x v="592"/>
    <d v="2025-09-09T00:00:00"/>
    <x v="2"/>
    <x v="8"/>
    <n v="95"/>
    <n v="82"/>
    <n v="7790"/>
    <x v="1"/>
    <x v="0"/>
    <s v=""/>
    <s v=""/>
  </r>
  <r>
    <x v="593"/>
    <d v="2025-03-03T00:00:00"/>
    <x v="0"/>
    <x v="5"/>
    <n v="473"/>
    <n v="195"/>
    <n v="92235"/>
    <x v="1"/>
    <x v="0"/>
    <s v=""/>
    <s v=""/>
  </r>
  <r>
    <x v="594"/>
    <d v="2025-08-11T00:00:00"/>
    <x v="1"/>
    <x v="8"/>
    <n v="498"/>
    <n v="249"/>
    <n v="124002"/>
    <x v="1"/>
    <x v="2"/>
    <s v=""/>
    <s v=""/>
  </r>
  <r>
    <x v="595"/>
    <d v="2025-10-12T00:00:00"/>
    <x v="1"/>
    <x v="0"/>
    <n v="234"/>
    <n v="859"/>
    <n v="201006"/>
    <x v="0"/>
    <x v="0"/>
    <s v=""/>
    <s v=""/>
  </r>
  <r>
    <x v="596"/>
    <d v="2025-04-12T00:00:00"/>
    <x v="2"/>
    <x v="2"/>
    <n v="324"/>
    <n v="386"/>
    <n v="125064"/>
    <x v="2"/>
    <x v="0"/>
    <s v=""/>
    <s v=""/>
  </r>
  <r>
    <x v="597"/>
    <d v="2025-11-24T00:00:00"/>
    <x v="1"/>
    <x v="0"/>
    <n v="70"/>
    <n v="1235"/>
    <n v="86450"/>
    <x v="2"/>
    <x v="0"/>
    <s v=""/>
    <s v=""/>
  </r>
  <r>
    <x v="598"/>
    <d v="2026-01-06T00:00:00"/>
    <x v="1"/>
    <x v="8"/>
    <n v="392"/>
    <n v="431"/>
    <n v="168952"/>
    <x v="2"/>
    <x v="1"/>
    <d v="2026-01-19T00:00:00"/>
    <n v="13"/>
  </r>
  <r>
    <x v="599"/>
    <d v="2025-04-14T00:00:00"/>
    <x v="0"/>
    <x v="8"/>
    <n v="343"/>
    <n v="733"/>
    <n v="251419"/>
    <x v="1"/>
    <x v="1"/>
    <d v="2025-04-19T00:00:00"/>
    <n v="5"/>
  </r>
  <r>
    <x v="600"/>
    <d v="2025-07-18T00:00:00"/>
    <x v="4"/>
    <x v="0"/>
    <n v="209"/>
    <n v="296"/>
    <n v="61864"/>
    <x v="0"/>
    <x v="0"/>
    <s v=""/>
    <s v=""/>
  </r>
  <r>
    <x v="601"/>
    <d v="2025-04-08T00:00:00"/>
    <x v="4"/>
    <x v="1"/>
    <n v="212"/>
    <n v="1562"/>
    <n v="331144"/>
    <x v="1"/>
    <x v="1"/>
    <d v="2025-04-19T00:00:00"/>
    <n v="11"/>
  </r>
  <r>
    <x v="602"/>
    <d v="2025-07-21T00:00:00"/>
    <x v="3"/>
    <x v="9"/>
    <n v="430"/>
    <n v="324"/>
    <n v="139320"/>
    <x v="0"/>
    <x v="0"/>
    <s v=""/>
    <s v=""/>
  </r>
  <r>
    <x v="603"/>
    <d v="2025-08-06T00:00:00"/>
    <x v="4"/>
    <x v="3"/>
    <n v="35"/>
    <n v="1907"/>
    <n v="66745"/>
    <x v="0"/>
    <x v="0"/>
    <s v=""/>
    <s v=""/>
  </r>
  <r>
    <x v="604"/>
    <d v="2025-05-26T00:00:00"/>
    <x v="2"/>
    <x v="8"/>
    <n v="489"/>
    <n v="219"/>
    <n v="107091"/>
    <x v="2"/>
    <x v="2"/>
    <s v=""/>
    <s v=""/>
  </r>
  <r>
    <x v="605"/>
    <d v="2025-03-14T00:00:00"/>
    <x v="2"/>
    <x v="8"/>
    <n v="455"/>
    <n v="1817"/>
    <n v="826735"/>
    <x v="2"/>
    <x v="2"/>
    <s v=""/>
    <s v=""/>
  </r>
  <r>
    <x v="606"/>
    <d v="2025-05-27T00:00:00"/>
    <x v="4"/>
    <x v="0"/>
    <n v="225"/>
    <n v="1865"/>
    <n v="419625"/>
    <x v="1"/>
    <x v="0"/>
    <s v=""/>
    <s v=""/>
  </r>
  <r>
    <x v="607"/>
    <d v="2025-08-28T00:00:00"/>
    <x v="0"/>
    <x v="2"/>
    <n v="367"/>
    <n v="1723"/>
    <n v="632341"/>
    <x v="2"/>
    <x v="2"/>
    <s v=""/>
    <s v=""/>
  </r>
  <r>
    <x v="608"/>
    <d v="2026-01-21T00:00:00"/>
    <x v="0"/>
    <x v="8"/>
    <n v="47"/>
    <n v="1115"/>
    <n v="52405"/>
    <x v="2"/>
    <x v="0"/>
    <s v=""/>
    <s v=""/>
  </r>
  <r>
    <x v="609"/>
    <d v="2025-11-14T00:00:00"/>
    <x v="3"/>
    <x v="0"/>
    <n v="114"/>
    <n v="777"/>
    <n v="88578"/>
    <x v="1"/>
    <x v="1"/>
    <d v="2025-11-24T00:00:00"/>
    <n v="10"/>
  </r>
  <r>
    <x v="610"/>
    <d v="2026-01-17T00:00:00"/>
    <x v="4"/>
    <x v="0"/>
    <n v="218"/>
    <n v="82"/>
    <n v="17876"/>
    <x v="0"/>
    <x v="1"/>
    <d v="2026-01-31T00:00:00"/>
    <n v="14"/>
  </r>
  <r>
    <x v="611"/>
    <d v="2025-07-25T00:00:00"/>
    <x v="1"/>
    <x v="2"/>
    <n v="259"/>
    <n v="1572"/>
    <n v="407148"/>
    <x v="0"/>
    <x v="1"/>
    <d v="2025-08-03T00:00:00"/>
    <n v="9"/>
  </r>
  <r>
    <x v="612"/>
    <d v="2025-05-14T00:00:00"/>
    <x v="4"/>
    <x v="8"/>
    <n v="54"/>
    <n v="1286"/>
    <n v="69444"/>
    <x v="1"/>
    <x v="0"/>
    <s v=""/>
    <s v=""/>
  </r>
  <r>
    <x v="613"/>
    <d v="2025-02-26T00:00:00"/>
    <x v="4"/>
    <x v="9"/>
    <n v="201"/>
    <n v="1792"/>
    <n v="360192"/>
    <x v="2"/>
    <x v="2"/>
    <s v=""/>
    <s v=""/>
  </r>
  <r>
    <x v="614"/>
    <d v="2025-05-18T00:00:00"/>
    <x v="3"/>
    <x v="7"/>
    <n v="29"/>
    <n v="1053"/>
    <n v="30537"/>
    <x v="2"/>
    <x v="0"/>
    <s v=""/>
    <s v=""/>
  </r>
  <r>
    <x v="615"/>
    <d v="2025-03-16T00:00:00"/>
    <x v="4"/>
    <x v="7"/>
    <n v="131"/>
    <n v="1513"/>
    <n v="198203"/>
    <x v="1"/>
    <x v="2"/>
    <s v=""/>
    <s v=""/>
  </r>
  <r>
    <x v="616"/>
    <d v="2025-05-13T00:00:00"/>
    <x v="4"/>
    <x v="4"/>
    <n v="484"/>
    <n v="1936"/>
    <n v="937024"/>
    <x v="0"/>
    <x v="1"/>
    <d v="2025-05-24T00:00:00"/>
    <n v="11"/>
  </r>
  <r>
    <x v="617"/>
    <d v="2025-03-26T00:00:00"/>
    <x v="2"/>
    <x v="4"/>
    <n v="150"/>
    <n v="850"/>
    <n v="127500"/>
    <x v="2"/>
    <x v="0"/>
    <s v=""/>
    <s v=""/>
  </r>
  <r>
    <x v="618"/>
    <d v="2025-01-28T00:00:00"/>
    <x v="4"/>
    <x v="4"/>
    <n v="157"/>
    <n v="292"/>
    <n v="45844"/>
    <x v="1"/>
    <x v="1"/>
    <d v="2025-02-06T00:00:00"/>
    <n v="9"/>
  </r>
  <r>
    <x v="619"/>
    <d v="2025-03-14T00:00:00"/>
    <x v="0"/>
    <x v="3"/>
    <n v="85"/>
    <n v="152"/>
    <n v="12920"/>
    <x v="1"/>
    <x v="1"/>
    <d v="2025-03-21T00:00:00"/>
    <n v="7"/>
  </r>
  <r>
    <x v="620"/>
    <d v="2025-10-22T00:00:00"/>
    <x v="4"/>
    <x v="0"/>
    <n v="188"/>
    <n v="864"/>
    <n v="162432"/>
    <x v="2"/>
    <x v="1"/>
    <d v="2025-11-03T00:00:00"/>
    <n v="12"/>
  </r>
  <r>
    <x v="621"/>
    <d v="2025-04-12T00:00:00"/>
    <x v="2"/>
    <x v="8"/>
    <n v="49"/>
    <n v="1831"/>
    <n v="89719"/>
    <x v="0"/>
    <x v="0"/>
    <s v=""/>
    <s v=""/>
  </r>
  <r>
    <x v="622"/>
    <d v="2025-04-02T00:00:00"/>
    <x v="3"/>
    <x v="4"/>
    <n v="45"/>
    <n v="1924"/>
    <n v="86580"/>
    <x v="1"/>
    <x v="2"/>
    <s v=""/>
    <s v=""/>
  </r>
  <r>
    <x v="623"/>
    <d v="2025-10-07T00:00:00"/>
    <x v="1"/>
    <x v="6"/>
    <n v="162"/>
    <n v="901"/>
    <n v="145962"/>
    <x v="1"/>
    <x v="0"/>
    <s v=""/>
    <s v=""/>
  </r>
  <r>
    <x v="624"/>
    <d v="2025-05-07T00:00:00"/>
    <x v="2"/>
    <x v="9"/>
    <n v="40"/>
    <n v="1373"/>
    <n v="54920"/>
    <x v="1"/>
    <x v="1"/>
    <d v="2025-05-16T00:00:00"/>
    <n v="9"/>
  </r>
  <r>
    <x v="625"/>
    <d v="2025-09-24T00:00:00"/>
    <x v="2"/>
    <x v="3"/>
    <n v="414"/>
    <n v="1310"/>
    <n v="542340"/>
    <x v="1"/>
    <x v="1"/>
    <d v="2025-10-04T00:00:00"/>
    <n v="10"/>
  </r>
  <r>
    <x v="626"/>
    <d v="2025-06-22T00:00:00"/>
    <x v="2"/>
    <x v="7"/>
    <n v="481"/>
    <n v="1924"/>
    <n v="925444"/>
    <x v="0"/>
    <x v="0"/>
    <s v=""/>
    <s v=""/>
  </r>
  <r>
    <x v="627"/>
    <d v="2025-02-05T00:00:00"/>
    <x v="4"/>
    <x v="7"/>
    <n v="45"/>
    <n v="385"/>
    <n v="17325"/>
    <x v="0"/>
    <x v="1"/>
    <d v="2025-02-20T00:00:00"/>
    <n v="15"/>
  </r>
  <r>
    <x v="628"/>
    <d v="2025-11-24T00:00:00"/>
    <x v="4"/>
    <x v="9"/>
    <n v="74"/>
    <n v="942"/>
    <n v="69708"/>
    <x v="1"/>
    <x v="2"/>
    <s v=""/>
    <s v=""/>
  </r>
  <r>
    <x v="629"/>
    <d v="2025-08-11T00:00:00"/>
    <x v="0"/>
    <x v="1"/>
    <n v="88"/>
    <n v="1141"/>
    <n v="100408"/>
    <x v="0"/>
    <x v="2"/>
    <s v=""/>
    <s v=""/>
  </r>
  <r>
    <x v="630"/>
    <d v="2025-05-19T00:00:00"/>
    <x v="3"/>
    <x v="0"/>
    <n v="123"/>
    <n v="414"/>
    <n v="50922"/>
    <x v="1"/>
    <x v="2"/>
    <s v=""/>
    <s v=""/>
  </r>
  <r>
    <x v="631"/>
    <d v="2025-07-22T00:00:00"/>
    <x v="4"/>
    <x v="3"/>
    <n v="53"/>
    <n v="1749"/>
    <n v="92697"/>
    <x v="1"/>
    <x v="0"/>
    <s v=""/>
    <s v=""/>
  </r>
  <r>
    <x v="632"/>
    <d v="2025-03-28T00:00:00"/>
    <x v="2"/>
    <x v="1"/>
    <n v="63"/>
    <n v="1544"/>
    <n v="97272"/>
    <x v="0"/>
    <x v="2"/>
    <s v=""/>
    <s v=""/>
  </r>
  <r>
    <x v="633"/>
    <d v="2025-01-26T00:00:00"/>
    <x v="2"/>
    <x v="3"/>
    <n v="42"/>
    <n v="1751"/>
    <n v="73542"/>
    <x v="1"/>
    <x v="2"/>
    <s v=""/>
    <s v=""/>
  </r>
  <r>
    <x v="634"/>
    <d v="2025-02-25T00:00:00"/>
    <x v="3"/>
    <x v="8"/>
    <n v="415"/>
    <n v="1796"/>
    <n v="745340"/>
    <x v="2"/>
    <x v="0"/>
    <s v=""/>
    <s v=""/>
  </r>
  <r>
    <x v="635"/>
    <d v="2025-08-16T00:00:00"/>
    <x v="1"/>
    <x v="9"/>
    <n v="479"/>
    <n v="651"/>
    <n v="311829"/>
    <x v="1"/>
    <x v="0"/>
    <s v=""/>
    <s v=""/>
  </r>
  <r>
    <x v="636"/>
    <d v="2026-01-01T00:00:00"/>
    <x v="0"/>
    <x v="2"/>
    <n v="321"/>
    <n v="1432"/>
    <n v="459672"/>
    <x v="0"/>
    <x v="0"/>
    <s v=""/>
    <s v=""/>
  </r>
  <r>
    <x v="637"/>
    <d v="2025-03-15T00:00:00"/>
    <x v="1"/>
    <x v="6"/>
    <n v="454"/>
    <n v="1913"/>
    <n v="868502"/>
    <x v="2"/>
    <x v="0"/>
    <s v=""/>
    <s v=""/>
  </r>
  <r>
    <x v="638"/>
    <d v="2025-09-13T00:00:00"/>
    <x v="4"/>
    <x v="4"/>
    <n v="500"/>
    <n v="744"/>
    <n v="372000"/>
    <x v="1"/>
    <x v="0"/>
    <s v=""/>
    <s v=""/>
  </r>
  <r>
    <x v="639"/>
    <d v="2025-08-31T00:00:00"/>
    <x v="1"/>
    <x v="2"/>
    <n v="172"/>
    <n v="670"/>
    <n v="115240"/>
    <x v="2"/>
    <x v="2"/>
    <s v=""/>
    <s v=""/>
  </r>
  <r>
    <x v="640"/>
    <d v="2025-07-01T00:00:00"/>
    <x v="2"/>
    <x v="2"/>
    <n v="184"/>
    <n v="1710"/>
    <n v="314640"/>
    <x v="1"/>
    <x v="2"/>
    <s v=""/>
    <s v=""/>
  </r>
  <r>
    <x v="641"/>
    <d v="2025-06-30T00:00:00"/>
    <x v="1"/>
    <x v="4"/>
    <n v="494"/>
    <n v="550"/>
    <n v="271700"/>
    <x v="2"/>
    <x v="2"/>
    <s v=""/>
    <s v=""/>
  </r>
  <r>
    <x v="642"/>
    <d v="2025-08-08T00:00:00"/>
    <x v="3"/>
    <x v="2"/>
    <n v="150"/>
    <n v="495"/>
    <n v="74250"/>
    <x v="2"/>
    <x v="1"/>
    <d v="2025-08-14T00:00:00"/>
    <n v="6"/>
  </r>
  <r>
    <x v="643"/>
    <d v="2025-10-12T00:00:00"/>
    <x v="4"/>
    <x v="9"/>
    <n v="207"/>
    <n v="1318"/>
    <n v="272826"/>
    <x v="0"/>
    <x v="2"/>
    <s v=""/>
    <s v=""/>
  </r>
  <r>
    <x v="644"/>
    <d v="2025-01-02T00:00:00"/>
    <x v="0"/>
    <x v="7"/>
    <n v="348"/>
    <n v="742"/>
    <n v="258216"/>
    <x v="1"/>
    <x v="1"/>
    <d v="2025-01-16T00:00:00"/>
    <n v="14"/>
  </r>
  <r>
    <x v="645"/>
    <d v="2025-07-07T00:00:00"/>
    <x v="3"/>
    <x v="3"/>
    <n v="101"/>
    <n v="1114"/>
    <n v="112514"/>
    <x v="0"/>
    <x v="0"/>
    <s v=""/>
    <s v=""/>
  </r>
  <r>
    <x v="646"/>
    <d v="2025-04-28T00:00:00"/>
    <x v="0"/>
    <x v="1"/>
    <n v="346"/>
    <n v="340"/>
    <n v="117640"/>
    <x v="0"/>
    <x v="1"/>
    <d v="2025-05-07T00:00:00"/>
    <n v="9"/>
  </r>
  <r>
    <x v="647"/>
    <d v="2025-04-29T00:00:00"/>
    <x v="0"/>
    <x v="6"/>
    <n v="44"/>
    <n v="388"/>
    <n v="17072"/>
    <x v="2"/>
    <x v="2"/>
    <s v=""/>
    <s v=""/>
  </r>
  <r>
    <x v="648"/>
    <d v="2025-06-04T00:00:00"/>
    <x v="1"/>
    <x v="9"/>
    <n v="203"/>
    <n v="1074"/>
    <n v="218022"/>
    <x v="2"/>
    <x v="2"/>
    <s v=""/>
    <s v=""/>
  </r>
  <r>
    <x v="649"/>
    <d v="2025-09-02T00:00:00"/>
    <x v="1"/>
    <x v="5"/>
    <n v="306"/>
    <n v="831"/>
    <n v="254286"/>
    <x v="2"/>
    <x v="1"/>
    <d v="2025-09-09T00:00:00"/>
    <n v="7"/>
  </r>
  <r>
    <x v="650"/>
    <d v="2025-06-12T00:00:00"/>
    <x v="0"/>
    <x v="0"/>
    <n v="405"/>
    <n v="1782"/>
    <n v="721710"/>
    <x v="2"/>
    <x v="2"/>
    <s v=""/>
    <s v=""/>
  </r>
  <r>
    <x v="651"/>
    <d v="2025-04-02T00:00:00"/>
    <x v="4"/>
    <x v="4"/>
    <n v="391"/>
    <n v="1377"/>
    <n v="538407"/>
    <x v="2"/>
    <x v="1"/>
    <d v="2025-04-11T00:00:00"/>
    <n v="9"/>
  </r>
  <r>
    <x v="652"/>
    <d v="2025-12-27T00:00:00"/>
    <x v="4"/>
    <x v="7"/>
    <n v="270"/>
    <n v="1063"/>
    <n v="287010"/>
    <x v="0"/>
    <x v="0"/>
    <s v=""/>
    <s v=""/>
  </r>
  <r>
    <x v="653"/>
    <d v="2025-05-31T00:00:00"/>
    <x v="2"/>
    <x v="1"/>
    <n v="440"/>
    <n v="336"/>
    <n v="147840"/>
    <x v="1"/>
    <x v="2"/>
    <s v=""/>
    <s v=""/>
  </r>
  <r>
    <x v="654"/>
    <d v="2025-09-29T00:00:00"/>
    <x v="0"/>
    <x v="2"/>
    <n v="405"/>
    <n v="276"/>
    <n v="111780"/>
    <x v="0"/>
    <x v="2"/>
    <s v=""/>
    <s v=""/>
  </r>
  <r>
    <x v="655"/>
    <d v="2025-09-12T00:00:00"/>
    <x v="4"/>
    <x v="7"/>
    <n v="233"/>
    <n v="1693"/>
    <n v="394469"/>
    <x v="2"/>
    <x v="2"/>
    <s v=""/>
    <s v=""/>
  </r>
  <r>
    <x v="656"/>
    <d v="2025-06-19T00:00:00"/>
    <x v="2"/>
    <x v="0"/>
    <n v="79"/>
    <n v="510"/>
    <n v="40290"/>
    <x v="2"/>
    <x v="2"/>
    <s v=""/>
    <s v=""/>
  </r>
  <r>
    <x v="657"/>
    <d v="2025-07-19T00:00:00"/>
    <x v="4"/>
    <x v="1"/>
    <n v="139"/>
    <n v="700"/>
    <n v="97300"/>
    <x v="1"/>
    <x v="1"/>
    <d v="2025-07-28T00:00:00"/>
    <n v="9"/>
  </r>
  <r>
    <x v="658"/>
    <d v="2025-04-16T00:00:00"/>
    <x v="1"/>
    <x v="5"/>
    <n v="38"/>
    <n v="847"/>
    <n v="32186"/>
    <x v="1"/>
    <x v="0"/>
    <s v=""/>
    <s v=""/>
  </r>
  <r>
    <x v="659"/>
    <d v="2025-04-19T00:00:00"/>
    <x v="0"/>
    <x v="9"/>
    <n v="316"/>
    <n v="159"/>
    <n v="50244"/>
    <x v="2"/>
    <x v="1"/>
    <d v="2025-04-26T00:00:00"/>
    <n v="7"/>
  </r>
  <r>
    <x v="660"/>
    <d v="2025-07-31T00:00:00"/>
    <x v="0"/>
    <x v="6"/>
    <n v="442"/>
    <n v="562"/>
    <n v="248404"/>
    <x v="0"/>
    <x v="2"/>
    <s v=""/>
    <s v=""/>
  </r>
  <r>
    <x v="661"/>
    <d v="2025-08-13T00:00:00"/>
    <x v="2"/>
    <x v="9"/>
    <n v="227"/>
    <n v="107"/>
    <n v="24289"/>
    <x v="0"/>
    <x v="0"/>
    <s v=""/>
    <s v=""/>
  </r>
  <r>
    <x v="662"/>
    <d v="2025-09-18T00:00:00"/>
    <x v="3"/>
    <x v="1"/>
    <n v="37"/>
    <n v="402"/>
    <n v="14874"/>
    <x v="1"/>
    <x v="2"/>
    <s v=""/>
    <s v=""/>
  </r>
  <r>
    <x v="663"/>
    <d v="2025-03-11T00:00:00"/>
    <x v="2"/>
    <x v="1"/>
    <n v="258"/>
    <n v="1034"/>
    <n v="266772"/>
    <x v="1"/>
    <x v="0"/>
    <s v=""/>
    <s v=""/>
  </r>
  <r>
    <x v="664"/>
    <d v="2025-06-06T00:00:00"/>
    <x v="2"/>
    <x v="4"/>
    <n v="424"/>
    <n v="1897"/>
    <n v="804328"/>
    <x v="2"/>
    <x v="0"/>
    <s v=""/>
    <s v=""/>
  </r>
  <r>
    <x v="665"/>
    <d v="2025-02-11T00:00:00"/>
    <x v="3"/>
    <x v="3"/>
    <n v="150"/>
    <n v="657"/>
    <n v="98550"/>
    <x v="0"/>
    <x v="2"/>
    <s v=""/>
    <s v=""/>
  </r>
  <r>
    <x v="666"/>
    <d v="2025-09-07T00:00:00"/>
    <x v="3"/>
    <x v="5"/>
    <n v="258"/>
    <n v="1098"/>
    <n v="283284"/>
    <x v="2"/>
    <x v="0"/>
    <s v=""/>
    <s v=""/>
  </r>
  <r>
    <x v="667"/>
    <d v="2025-06-20T00:00:00"/>
    <x v="0"/>
    <x v="1"/>
    <n v="387"/>
    <n v="849"/>
    <n v="328563"/>
    <x v="0"/>
    <x v="2"/>
    <s v=""/>
    <s v=""/>
  </r>
  <r>
    <x v="668"/>
    <d v="2025-06-28T00:00:00"/>
    <x v="4"/>
    <x v="2"/>
    <n v="152"/>
    <n v="687"/>
    <n v="104424"/>
    <x v="0"/>
    <x v="2"/>
    <s v=""/>
    <s v=""/>
  </r>
  <r>
    <x v="669"/>
    <d v="2025-02-04T00:00:00"/>
    <x v="2"/>
    <x v="9"/>
    <n v="394"/>
    <n v="545"/>
    <n v="214730"/>
    <x v="2"/>
    <x v="0"/>
    <s v=""/>
    <s v=""/>
  </r>
  <r>
    <x v="670"/>
    <d v="2025-08-03T00:00:00"/>
    <x v="4"/>
    <x v="5"/>
    <n v="312"/>
    <n v="281"/>
    <n v="87672"/>
    <x v="0"/>
    <x v="2"/>
    <s v=""/>
    <s v=""/>
  </r>
  <r>
    <x v="671"/>
    <d v="2025-05-15T00:00:00"/>
    <x v="2"/>
    <x v="8"/>
    <n v="210"/>
    <n v="121"/>
    <n v="25410"/>
    <x v="1"/>
    <x v="0"/>
    <s v=""/>
    <s v=""/>
  </r>
  <r>
    <x v="672"/>
    <d v="2025-03-20T00:00:00"/>
    <x v="4"/>
    <x v="5"/>
    <n v="63"/>
    <n v="879"/>
    <n v="55377"/>
    <x v="0"/>
    <x v="1"/>
    <d v="2025-04-02T00:00:00"/>
    <n v="13"/>
  </r>
  <r>
    <x v="673"/>
    <d v="2025-02-16T00:00:00"/>
    <x v="2"/>
    <x v="3"/>
    <n v="110"/>
    <n v="478"/>
    <n v="52580"/>
    <x v="2"/>
    <x v="0"/>
    <s v=""/>
    <s v=""/>
  </r>
  <r>
    <x v="674"/>
    <d v="2025-01-24T00:00:00"/>
    <x v="0"/>
    <x v="1"/>
    <n v="445"/>
    <n v="1381"/>
    <n v="614545"/>
    <x v="1"/>
    <x v="2"/>
    <s v=""/>
    <s v=""/>
  </r>
  <r>
    <x v="675"/>
    <d v="2025-11-21T00:00:00"/>
    <x v="0"/>
    <x v="3"/>
    <n v="135"/>
    <n v="1180"/>
    <n v="159300"/>
    <x v="2"/>
    <x v="2"/>
    <s v=""/>
    <s v=""/>
  </r>
  <r>
    <x v="676"/>
    <d v="2025-09-23T00:00:00"/>
    <x v="1"/>
    <x v="0"/>
    <n v="326"/>
    <n v="1759"/>
    <n v="573434"/>
    <x v="2"/>
    <x v="2"/>
    <s v=""/>
    <s v=""/>
  </r>
  <r>
    <x v="677"/>
    <d v="2025-05-23T00:00:00"/>
    <x v="3"/>
    <x v="8"/>
    <n v="3"/>
    <n v="1571"/>
    <n v="4713"/>
    <x v="2"/>
    <x v="2"/>
    <s v=""/>
    <s v=""/>
  </r>
  <r>
    <x v="678"/>
    <d v="2025-10-01T00:00:00"/>
    <x v="2"/>
    <x v="8"/>
    <n v="139"/>
    <n v="1198"/>
    <n v="166522"/>
    <x v="2"/>
    <x v="1"/>
    <d v="2025-10-10T00:00:00"/>
    <n v="9"/>
  </r>
  <r>
    <x v="679"/>
    <d v="2025-01-03T00:00:00"/>
    <x v="1"/>
    <x v="9"/>
    <n v="441"/>
    <n v="124"/>
    <n v="54684"/>
    <x v="0"/>
    <x v="0"/>
    <s v=""/>
    <s v=""/>
  </r>
  <r>
    <x v="680"/>
    <d v="2025-08-26T00:00:00"/>
    <x v="2"/>
    <x v="6"/>
    <n v="406"/>
    <n v="931"/>
    <n v="377986"/>
    <x v="1"/>
    <x v="0"/>
    <s v=""/>
    <s v=""/>
  </r>
  <r>
    <x v="681"/>
    <d v="2025-01-27T00:00:00"/>
    <x v="2"/>
    <x v="2"/>
    <n v="256"/>
    <n v="1730"/>
    <n v="442880"/>
    <x v="1"/>
    <x v="1"/>
    <d v="2025-02-04T00:00:00"/>
    <n v="8"/>
  </r>
  <r>
    <x v="682"/>
    <d v="2025-09-06T00:00:00"/>
    <x v="4"/>
    <x v="3"/>
    <n v="475"/>
    <n v="375"/>
    <n v="178125"/>
    <x v="1"/>
    <x v="0"/>
    <s v=""/>
    <s v=""/>
  </r>
  <r>
    <x v="683"/>
    <d v="2025-01-31T00:00:00"/>
    <x v="1"/>
    <x v="0"/>
    <n v="412"/>
    <n v="1523"/>
    <n v="627476"/>
    <x v="0"/>
    <x v="1"/>
    <d v="2025-02-14T00:00:00"/>
    <n v="14"/>
  </r>
  <r>
    <x v="684"/>
    <d v="2025-02-18T00:00:00"/>
    <x v="2"/>
    <x v="1"/>
    <n v="473"/>
    <n v="538"/>
    <n v="254474"/>
    <x v="1"/>
    <x v="0"/>
    <s v=""/>
    <s v=""/>
  </r>
  <r>
    <x v="685"/>
    <d v="2025-10-14T00:00:00"/>
    <x v="2"/>
    <x v="3"/>
    <n v="218"/>
    <n v="241"/>
    <n v="52538"/>
    <x v="2"/>
    <x v="1"/>
    <d v="2025-10-26T00:00:00"/>
    <n v="12"/>
  </r>
  <r>
    <x v="686"/>
    <d v="2025-04-17T00:00:00"/>
    <x v="4"/>
    <x v="6"/>
    <n v="174"/>
    <n v="874"/>
    <n v="152076"/>
    <x v="1"/>
    <x v="1"/>
    <d v="2025-04-26T00:00:00"/>
    <n v="9"/>
  </r>
  <r>
    <x v="687"/>
    <d v="2025-08-23T00:00:00"/>
    <x v="4"/>
    <x v="1"/>
    <n v="423"/>
    <n v="748"/>
    <n v="316404"/>
    <x v="1"/>
    <x v="0"/>
    <s v=""/>
    <s v=""/>
  </r>
  <r>
    <x v="688"/>
    <d v="2025-06-16T00:00:00"/>
    <x v="0"/>
    <x v="0"/>
    <n v="23"/>
    <n v="791"/>
    <n v="18193"/>
    <x v="1"/>
    <x v="0"/>
    <s v=""/>
    <s v=""/>
  </r>
  <r>
    <x v="689"/>
    <d v="2025-05-17T00:00:00"/>
    <x v="2"/>
    <x v="7"/>
    <n v="32"/>
    <n v="1620"/>
    <n v="51840"/>
    <x v="0"/>
    <x v="1"/>
    <d v="2025-05-27T00:00:00"/>
    <n v="10"/>
  </r>
  <r>
    <x v="690"/>
    <d v="2025-04-02T00:00:00"/>
    <x v="1"/>
    <x v="6"/>
    <n v="209"/>
    <n v="1612"/>
    <n v="336908"/>
    <x v="1"/>
    <x v="2"/>
    <s v=""/>
    <s v=""/>
  </r>
  <r>
    <x v="691"/>
    <d v="2025-06-29T00:00:00"/>
    <x v="0"/>
    <x v="7"/>
    <n v="233"/>
    <n v="1926"/>
    <n v="448758"/>
    <x v="1"/>
    <x v="0"/>
    <s v=""/>
    <s v=""/>
  </r>
  <r>
    <x v="692"/>
    <d v="2025-08-07T00:00:00"/>
    <x v="3"/>
    <x v="3"/>
    <n v="455"/>
    <n v="886"/>
    <n v="403130"/>
    <x v="2"/>
    <x v="1"/>
    <d v="2025-08-14T00:00:00"/>
    <n v="7"/>
  </r>
  <r>
    <x v="693"/>
    <d v="2025-09-13T00:00:00"/>
    <x v="3"/>
    <x v="6"/>
    <n v="312"/>
    <n v="1636"/>
    <n v="510432"/>
    <x v="0"/>
    <x v="0"/>
    <s v=""/>
    <s v=""/>
  </r>
  <r>
    <x v="694"/>
    <d v="2025-09-28T00:00:00"/>
    <x v="2"/>
    <x v="3"/>
    <n v="249"/>
    <n v="1485"/>
    <n v="369765"/>
    <x v="1"/>
    <x v="2"/>
    <s v=""/>
    <s v=""/>
  </r>
  <r>
    <x v="695"/>
    <d v="2025-01-20T00:00:00"/>
    <x v="4"/>
    <x v="9"/>
    <n v="447"/>
    <n v="1034"/>
    <n v="462198"/>
    <x v="2"/>
    <x v="0"/>
    <s v=""/>
    <s v=""/>
  </r>
  <r>
    <x v="696"/>
    <d v="2025-05-08T00:00:00"/>
    <x v="3"/>
    <x v="1"/>
    <n v="97"/>
    <n v="458"/>
    <n v="44426"/>
    <x v="2"/>
    <x v="1"/>
    <d v="2025-05-21T00:00:00"/>
    <n v="13"/>
  </r>
  <r>
    <x v="697"/>
    <d v="2025-11-27T00:00:00"/>
    <x v="2"/>
    <x v="2"/>
    <n v="372"/>
    <n v="1679"/>
    <n v="624588"/>
    <x v="1"/>
    <x v="1"/>
    <d v="2025-12-06T00:00:00"/>
    <n v="9"/>
  </r>
  <r>
    <x v="698"/>
    <d v="2025-03-25T00:00:00"/>
    <x v="2"/>
    <x v="2"/>
    <n v="434"/>
    <n v="1436"/>
    <n v="623224"/>
    <x v="0"/>
    <x v="1"/>
    <d v="2025-03-31T00:00:00"/>
    <n v="6"/>
  </r>
  <r>
    <x v="699"/>
    <d v="2025-10-20T00:00:00"/>
    <x v="2"/>
    <x v="9"/>
    <n v="301"/>
    <n v="261"/>
    <n v="78561"/>
    <x v="1"/>
    <x v="1"/>
    <d v="2025-10-31T00:00:00"/>
    <n v="11"/>
  </r>
  <r>
    <x v="700"/>
    <d v="2025-08-06T00:00:00"/>
    <x v="0"/>
    <x v="5"/>
    <n v="321"/>
    <n v="792"/>
    <n v="254232"/>
    <x v="0"/>
    <x v="0"/>
    <s v=""/>
    <s v=""/>
  </r>
  <r>
    <x v="701"/>
    <d v="2025-03-18T00:00:00"/>
    <x v="2"/>
    <x v="6"/>
    <n v="359"/>
    <n v="1429"/>
    <n v="513011"/>
    <x v="2"/>
    <x v="2"/>
    <s v=""/>
    <s v=""/>
  </r>
  <r>
    <x v="702"/>
    <d v="2025-04-07T00:00:00"/>
    <x v="4"/>
    <x v="9"/>
    <n v="235"/>
    <n v="1827"/>
    <n v="429345"/>
    <x v="1"/>
    <x v="1"/>
    <d v="2025-04-13T00:00:00"/>
    <n v="6"/>
  </r>
  <r>
    <x v="703"/>
    <d v="2025-03-27T00:00:00"/>
    <x v="4"/>
    <x v="7"/>
    <n v="309"/>
    <n v="1609"/>
    <n v="497181"/>
    <x v="0"/>
    <x v="1"/>
    <d v="2025-04-05T00:00:00"/>
    <n v="9"/>
  </r>
  <r>
    <x v="704"/>
    <d v="2025-10-26T00:00:00"/>
    <x v="0"/>
    <x v="1"/>
    <n v="165"/>
    <n v="878"/>
    <n v="144870"/>
    <x v="0"/>
    <x v="0"/>
    <s v=""/>
    <s v=""/>
  </r>
  <r>
    <x v="705"/>
    <d v="2025-05-24T00:00:00"/>
    <x v="3"/>
    <x v="5"/>
    <n v="234"/>
    <n v="868"/>
    <n v="203112"/>
    <x v="1"/>
    <x v="0"/>
    <s v=""/>
    <s v=""/>
  </r>
  <r>
    <x v="706"/>
    <d v="2025-10-12T00:00:00"/>
    <x v="0"/>
    <x v="4"/>
    <n v="361"/>
    <n v="565"/>
    <n v="203965"/>
    <x v="0"/>
    <x v="1"/>
    <d v="2025-10-26T00:00:00"/>
    <n v="14"/>
  </r>
  <r>
    <x v="707"/>
    <d v="2025-04-28T00:00:00"/>
    <x v="4"/>
    <x v="8"/>
    <n v="455"/>
    <n v="1994"/>
    <n v="907270"/>
    <x v="0"/>
    <x v="1"/>
    <d v="2025-05-11T00:00:00"/>
    <n v="13"/>
  </r>
  <r>
    <x v="708"/>
    <d v="2025-11-27T00:00:00"/>
    <x v="1"/>
    <x v="9"/>
    <n v="299"/>
    <n v="1298"/>
    <n v="388102"/>
    <x v="0"/>
    <x v="2"/>
    <s v=""/>
    <s v=""/>
  </r>
  <r>
    <x v="709"/>
    <d v="2025-04-21T00:00:00"/>
    <x v="1"/>
    <x v="6"/>
    <n v="481"/>
    <n v="202"/>
    <n v="97162"/>
    <x v="0"/>
    <x v="1"/>
    <d v="2025-05-01T00:00:00"/>
    <n v="10"/>
  </r>
  <r>
    <x v="710"/>
    <d v="2025-09-07T00:00:00"/>
    <x v="1"/>
    <x v="2"/>
    <n v="495"/>
    <n v="1467"/>
    <n v="726165"/>
    <x v="1"/>
    <x v="2"/>
    <s v=""/>
    <s v=""/>
  </r>
  <r>
    <x v="711"/>
    <d v="2025-02-28T00:00:00"/>
    <x v="1"/>
    <x v="3"/>
    <n v="188"/>
    <n v="1080"/>
    <n v="203040"/>
    <x v="2"/>
    <x v="0"/>
    <s v=""/>
    <s v=""/>
  </r>
  <r>
    <x v="712"/>
    <d v="2025-05-26T00:00:00"/>
    <x v="1"/>
    <x v="3"/>
    <n v="148"/>
    <n v="1321"/>
    <n v="195508"/>
    <x v="0"/>
    <x v="2"/>
    <s v=""/>
    <s v=""/>
  </r>
  <r>
    <x v="713"/>
    <d v="2025-09-06T00:00:00"/>
    <x v="1"/>
    <x v="1"/>
    <n v="44"/>
    <n v="37"/>
    <n v="1628"/>
    <x v="2"/>
    <x v="2"/>
    <s v=""/>
    <s v=""/>
  </r>
  <r>
    <x v="714"/>
    <d v="2025-07-13T00:00:00"/>
    <x v="2"/>
    <x v="1"/>
    <n v="365"/>
    <n v="352"/>
    <n v="128480"/>
    <x v="0"/>
    <x v="2"/>
    <s v=""/>
    <s v=""/>
  </r>
  <r>
    <x v="715"/>
    <d v="2025-12-12T00:00:00"/>
    <x v="1"/>
    <x v="8"/>
    <n v="65"/>
    <n v="654"/>
    <n v="42510"/>
    <x v="0"/>
    <x v="2"/>
    <s v=""/>
    <s v=""/>
  </r>
  <r>
    <x v="716"/>
    <d v="2025-09-29T00:00:00"/>
    <x v="2"/>
    <x v="3"/>
    <n v="333"/>
    <n v="885"/>
    <n v="294705"/>
    <x v="2"/>
    <x v="2"/>
    <s v=""/>
    <s v=""/>
  </r>
  <r>
    <x v="717"/>
    <d v="2025-09-10T00:00:00"/>
    <x v="1"/>
    <x v="9"/>
    <n v="443"/>
    <n v="1260"/>
    <n v="558180"/>
    <x v="2"/>
    <x v="0"/>
    <s v=""/>
    <s v=""/>
  </r>
  <r>
    <x v="718"/>
    <d v="2025-12-29T00:00:00"/>
    <x v="1"/>
    <x v="2"/>
    <n v="126"/>
    <n v="1990"/>
    <n v="250740"/>
    <x v="2"/>
    <x v="1"/>
    <d v="2026-01-08T00:00:00"/>
    <n v="10"/>
  </r>
  <r>
    <x v="719"/>
    <d v="2025-01-26T00:00:00"/>
    <x v="3"/>
    <x v="4"/>
    <n v="436"/>
    <n v="498"/>
    <n v="217128"/>
    <x v="2"/>
    <x v="2"/>
    <s v=""/>
    <s v=""/>
  </r>
  <r>
    <x v="720"/>
    <d v="2025-05-30T00:00:00"/>
    <x v="2"/>
    <x v="2"/>
    <n v="62"/>
    <n v="173"/>
    <n v="10726"/>
    <x v="0"/>
    <x v="2"/>
    <s v=""/>
    <s v=""/>
  </r>
  <r>
    <x v="721"/>
    <d v="2025-12-01T00:00:00"/>
    <x v="2"/>
    <x v="6"/>
    <n v="350"/>
    <n v="920"/>
    <n v="322000"/>
    <x v="1"/>
    <x v="0"/>
    <s v=""/>
    <s v=""/>
  </r>
  <r>
    <x v="722"/>
    <d v="2025-12-10T00:00:00"/>
    <x v="3"/>
    <x v="9"/>
    <n v="437"/>
    <n v="807"/>
    <n v="352659"/>
    <x v="2"/>
    <x v="2"/>
    <s v=""/>
    <s v=""/>
  </r>
  <r>
    <x v="723"/>
    <d v="2025-11-27T00:00:00"/>
    <x v="1"/>
    <x v="7"/>
    <n v="160"/>
    <n v="167"/>
    <n v="26720"/>
    <x v="2"/>
    <x v="0"/>
    <s v=""/>
    <s v=""/>
  </r>
  <r>
    <x v="724"/>
    <d v="2025-03-17T00:00:00"/>
    <x v="4"/>
    <x v="4"/>
    <n v="276"/>
    <n v="460"/>
    <n v="126960"/>
    <x v="1"/>
    <x v="1"/>
    <d v="2025-03-28T00:00:00"/>
    <n v="11"/>
  </r>
  <r>
    <x v="725"/>
    <d v="2025-08-12T00:00:00"/>
    <x v="3"/>
    <x v="4"/>
    <n v="364"/>
    <n v="1706"/>
    <n v="620984"/>
    <x v="0"/>
    <x v="1"/>
    <d v="2025-08-24T00:00:00"/>
    <n v="12"/>
  </r>
  <r>
    <x v="726"/>
    <d v="2025-09-10T00:00:00"/>
    <x v="2"/>
    <x v="7"/>
    <n v="193"/>
    <n v="1648"/>
    <n v="318064"/>
    <x v="0"/>
    <x v="1"/>
    <d v="2025-09-24T00:00:00"/>
    <n v="14"/>
  </r>
  <r>
    <x v="727"/>
    <d v="2025-08-30T00:00:00"/>
    <x v="0"/>
    <x v="2"/>
    <n v="244"/>
    <n v="701"/>
    <n v="171044"/>
    <x v="0"/>
    <x v="1"/>
    <d v="2025-09-06T00:00:00"/>
    <n v="7"/>
  </r>
  <r>
    <x v="728"/>
    <d v="2025-07-21T00:00:00"/>
    <x v="0"/>
    <x v="0"/>
    <n v="33"/>
    <n v="1272"/>
    <n v="41976"/>
    <x v="2"/>
    <x v="2"/>
    <s v=""/>
    <s v=""/>
  </r>
  <r>
    <x v="729"/>
    <d v="2025-02-08T00:00:00"/>
    <x v="1"/>
    <x v="7"/>
    <n v="377"/>
    <n v="1246"/>
    <n v="469742"/>
    <x v="1"/>
    <x v="1"/>
    <d v="2025-02-13T00:00:00"/>
    <n v="5"/>
  </r>
  <r>
    <x v="730"/>
    <d v="2025-03-11T00:00:00"/>
    <x v="3"/>
    <x v="3"/>
    <n v="194"/>
    <n v="1167"/>
    <n v="226398"/>
    <x v="1"/>
    <x v="1"/>
    <d v="2025-03-21T00:00:00"/>
    <n v="10"/>
  </r>
  <r>
    <x v="731"/>
    <d v="2025-07-05T00:00:00"/>
    <x v="1"/>
    <x v="8"/>
    <n v="224"/>
    <n v="758"/>
    <n v="169792"/>
    <x v="0"/>
    <x v="1"/>
    <d v="2025-07-11T00:00:00"/>
    <n v="6"/>
  </r>
  <r>
    <x v="732"/>
    <d v="2025-12-06T00:00:00"/>
    <x v="0"/>
    <x v="0"/>
    <n v="144"/>
    <n v="1120"/>
    <n v="161280"/>
    <x v="1"/>
    <x v="0"/>
    <s v=""/>
    <s v=""/>
  </r>
  <r>
    <x v="733"/>
    <d v="2025-07-26T00:00:00"/>
    <x v="4"/>
    <x v="3"/>
    <n v="394"/>
    <n v="821"/>
    <n v="323474"/>
    <x v="2"/>
    <x v="1"/>
    <d v="2025-08-07T00:00:00"/>
    <n v="12"/>
  </r>
  <r>
    <x v="734"/>
    <d v="2025-04-02T00:00:00"/>
    <x v="0"/>
    <x v="5"/>
    <n v="309"/>
    <n v="408"/>
    <n v="126072"/>
    <x v="2"/>
    <x v="1"/>
    <d v="2025-04-16T00:00:00"/>
    <n v="14"/>
  </r>
  <r>
    <x v="735"/>
    <d v="2025-07-22T00:00:00"/>
    <x v="3"/>
    <x v="9"/>
    <n v="450"/>
    <n v="170"/>
    <n v="76500"/>
    <x v="0"/>
    <x v="0"/>
    <s v=""/>
    <s v=""/>
  </r>
  <r>
    <x v="736"/>
    <d v="2025-05-11T00:00:00"/>
    <x v="0"/>
    <x v="4"/>
    <n v="167"/>
    <n v="1380"/>
    <n v="230460"/>
    <x v="2"/>
    <x v="1"/>
    <d v="2025-05-26T00:00:00"/>
    <n v="15"/>
  </r>
  <r>
    <x v="737"/>
    <d v="2025-07-30T00:00:00"/>
    <x v="0"/>
    <x v="5"/>
    <n v="267"/>
    <n v="79"/>
    <n v="21093"/>
    <x v="2"/>
    <x v="1"/>
    <d v="2025-08-14T00:00:00"/>
    <n v="15"/>
  </r>
  <r>
    <x v="738"/>
    <d v="2025-09-06T00:00:00"/>
    <x v="2"/>
    <x v="4"/>
    <n v="361"/>
    <n v="28"/>
    <n v="10108"/>
    <x v="1"/>
    <x v="2"/>
    <s v=""/>
    <s v=""/>
  </r>
  <r>
    <x v="739"/>
    <d v="2025-12-08T00:00:00"/>
    <x v="2"/>
    <x v="9"/>
    <n v="325"/>
    <n v="1232"/>
    <n v="400400"/>
    <x v="2"/>
    <x v="0"/>
    <s v=""/>
    <s v=""/>
  </r>
  <r>
    <x v="740"/>
    <d v="2025-11-16T00:00:00"/>
    <x v="2"/>
    <x v="4"/>
    <n v="277"/>
    <n v="1262"/>
    <n v="349574"/>
    <x v="2"/>
    <x v="2"/>
    <s v=""/>
    <s v=""/>
  </r>
  <r>
    <x v="741"/>
    <d v="2025-06-24T00:00:00"/>
    <x v="1"/>
    <x v="4"/>
    <n v="155"/>
    <n v="1563"/>
    <n v="242265"/>
    <x v="0"/>
    <x v="0"/>
    <s v=""/>
    <s v=""/>
  </r>
  <r>
    <x v="742"/>
    <d v="2026-01-06T00:00:00"/>
    <x v="0"/>
    <x v="2"/>
    <n v="46"/>
    <n v="343"/>
    <n v="15778"/>
    <x v="0"/>
    <x v="2"/>
    <s v=""/>
    <s v=""/>
  </r>
  <r>
    <x v="743"/>
    <d v="2025-07-02T00:00:00"/>
    <x v="0"/>
    <x v="9"/>
    <n v="309"/>
    <n v="1912"/>
    <n v="590808"/>
    <x v="0"/>
    <x v="2"/>
    <s v=""/>
    <s v=""/>
  </r>
  <r>
    <x v="744"/>
    <d v="2025-10-30T00:00:00"/>
    <x v="1"/>
    <x v="2"/>
    <n v="313"/>
    <n v="1137"/>
    <n v="355881"/>
    <x v="0"/>
    <x v="1"/>
    <d v="2025-11-06T00:00:00"/>
    <n v="7"/>
  </r>
  <r>
    <x v="745"/>
    <d v="2025-09-29T00:00:00"/>
    <x v="3"/>
    <x v="5"/>
    <n v="156"/>
    <n v="769"/>
    <n v="119964"/>
    <x v="2"/>
    <x v="1"/>
    <d v="2025-10-13T00:00:00"/>
    <n v="14"/>
  </r>
  <r>
    <x v="746"/>
    <d v="2025-11-08T00:00:00"/>
    <x v="0"/>
    <x v="7"/>
    <n v="330"/>
    <n v="568"/>
    <n v="187440"/>
    <x v="1"/>
    <x v="0"/>
    <s v=""/>
    <s v=""/>
  </r>
  <r>
    <x v="747"/>
    <d v="2026-01-24T00:00:00"/>
    <x v="3"/>
    <x v="0"/>
    <n v="124"/>
    <n v="1301"/>
    <n v="161324"/>
    <x v="2"/>
    <x v="0"/>
    <s v=""/>
    <s v=""/>
  </r>
  <r>
    <x v="748"/>
    <d v="2025-11-18T00:00:00"/>
    <x v="3"/>
    <x v="1"/>
    <n v="414"/>
    <n v="1166"/>
    <n v="482724"/>
    <x v="2"/>
    <x v="1"/>
    <d v="2025-12-02T00:00:00"/>
    <n v="14"/>
  </r>
  <r>
    <x v="749"/>
    <d v="2025-02-16T00:00:00"/>
    <x v="2"/>
    <x v="6"/>
    <n v="235"/>
    <n v="741"/>
    <n v="174135"/>
    <x v="2"/>
    <x v="0"/>
    <s v=""/>
    <s v=""/>
  </r>
  <r>
    <x v="750"/>
    <d v="2025-05-13T00:00:00"/>
    <x v="0"/>
    <x v="0"/>
    <n v="427"/>
    <n v="1817"/>
    <n v="775859"/>
    <x v="0"/>
    <x v="1"/>
    <d v="2025-05-21T00:00:00"/>
    <n v="8"/>
  </r>
  <r>
    <x v="751"/>
    <d v="2025-01-21T00:00:00"/>
    <x v="0"/>
    <x v="3"/>
    <n v="287"/>
    <n v="1675"/>
    <n v="480725"/>
    <x v="1"/>
    <x v="0"/>
    <s v=""/>
    <s v=""/>
  </r>
  <r>
    <x v="752"/>
    <d v="2025-01-05T00:00:00"/>
    <x v="4"/>
    <x v="1"/>
    <n v="335"/>
    <n v="1828"/>
    <n v="612380"/>
    <x v="0"/>
    <x v="1"/>
    <d v="2025-01-13T00:00:00"/>
    <n v="8"/>
  </r>
  <r>
    <x v="753"/>
    <d v="2025-01-21T00:00:00"/>
    <x v="0"/>
    <x v="0"/>
    <n v="402"/>
    <n v="408"/>
    <n v="164016"/>
    <x v="0"/>
    <x v="1"/>
    <d v="2025-02-03T00:00:00"/>
    <n v="13"/>
  </r>
  <r>
    <x v="754"/>
    <d v="2025-07-28T00:00:00"/>
    <x v="1"/>
    <x v="9"/>
    <n v="67"/>
    <n v="1960"/>
    <n v="131320"/>
    <x v="2"/>
    <x v="1"/>
    <d v="2025-08-02T00:00:00"/>
    <n v="5"/>
  </r>
  <r>
    <x v="755"/>
    <d v="2025-12-27T00:00:00"/>
    <x v="1"/>
    <x v="2"/>
    <n v="31"/>
    <n v="1123"/>
    <n v="34813"/>
    <x v="2"/>
    <x v="2"/>
    <s v=""/>
    <s v=""/>
  </r>
  <r>
    <x v="756"/>
    <d v="2025-04-27T00:00:00"/>
    <x v="4"/>
    <x v="1"/>
    <n v="421"/>
    <n v="185"/>
    <n v="77885"/>
    <x v="1"/>
    <x v="0"/>
    <s v=""/>
    <s v=""/>
  </r>
  <r>
    <x v="757"/>
    <d v="2025-09-23T00:00:00"/>
    <x v="1"/>
    <x v="4"/>
    <n v="337"/>
    <n v="10"/>
    <n v="3370"/>
    <x v="1"/>
    <x v="2"/>
    <s v=""/>
    <s v=""/>
  </r>
  <r>
    <x v="758"/>
    <d v="2025-12-07T00:00:00"/>
    <x v="2"/>
    <x v="5"/>
    <n v="31"/>
    <n v="1788"/>
    <n v="55428"/>
    <x v="0"/>
    <x v="1"/>
    <d v="2025-12-17T00:00:00"/>
    <n v="10"/>
  </r>
  <r>
    <x v="759"/>
    <d v="2026-01-04T00:00:00"/>
    <x v="1"/>
    <x v="4"/>
    <n v="39"/>
    <n v="287"/>
    <n v="11193"/>
    <x v="0"/>
    <x v="1"/>
    <d v="2026-01-17T00:00:00"/>
    <n v="13"/>
  </r>
  <r>
    <x v="760"/>
    <d v="2025-09-10T00:00:00"/>
    <x v="4"/>
    <x v="2"/>
    <n v="26"/>
    <n v="913"/>
    <n v="23738"/>
    <x v="0"/>
    <x v="1"/>
    <d v="2025-09-15T00:00:00"/>
    <n v="5"/>
  </r>
  <r>
    <x v="761"/>
    <d v="2025-08-28T00:00:00"/>
    <x v="3"/>
    <x v="4"/>
    <n v="34"/>
    <n v="1956"/>
    <n v="66504"/>
    <x v="0"/>
    <x v="1"/>
    <d v="2025-09-06T00:00:00"/>
    <n v="9"/>
  </r>
  <r>
    <x v="762"/>
    <d v="2025-05-18T00:00:00"/>
    <x v="2"/>
    <x v="5"/>
    <n v="194"/>
    <n v="1220"/>
    <n v="236680"/>
    <x v="0"/>
    <x v="1"/>
    <d v="2025-05-30T00:00:00"/>
    <n v="12"/>
  </r>
  <r>
    <x v="763"/>
    <d v="2026-01-16T00:00:00"/>
    <x v="0"/>
    <x v="9"/>
    <n v="88"/>
    <n v="1732"/>
    <n v="152416"/>
    <x v="1"/>
    <x v="1"/>
    <d v="2026-01-29T00:00:00"/>
    <n v="13"/>
  </r>
  <r>
    <x v="764"/>
    <d v="2025-08-11T00:00:00"/>
    <x v="2"/>
    <x v="0"/>
    <n v="206"/>
    <n v="1118"/>
    <n v="230308"/>
    <x v="2"/>
    <x v="2"/>
    <s v=""/>
    <s v=""/>
  </r>
  <r>
    <x v="765"/>
    <d v="2025-09-18T00:00:00"/>
    <x v="0"/>
    <x v="9"/>
    <n v="492"/>
    <n v="830"/>
    <n v="408360"/>
    <x v="0"/>
    <x v="1"/>
    <d v="2025-10-01T00:00:00"/>
    <n v="13"/>
  </r>
  <r>
    <x v="766"/>
    <d v="2025-07-31T00:00:00"/>
    <x v="0"/>
    <x v="2"/>
    <n v="177"/>
    <n v="339"/>
    <n v="60003"/>
    <x v="2"/>
    <x v="2"/>
    <s v=""/>
    <s v=""/>
  </r>
  <r>
    <x v="767"/>
    <d v="2025-05-06T00:00:00"/>
    <x v="0"/>
    <x v="0"/>
    <n v="413"/>
    <n v="267"/>
    <n v="110271"/>
    <x v="0"/>
    <x v="1"/>
    <d v="2025-05-16T00:00:00"/>
    <n v="10"/>
  </r>
  <r>
    <x v="768"/>
    <d v="2025-06-13T00:00:00"/>
    <x v="4"/>
    <x v="6"/>
    <n v="351"/>
    <n v="1994"/>
    <n v="699894"/>
    <x v="0"/>
    <x v="0"/>
    <s v=""/>
    <s v=""/>
  </r>
  <r>
    <x v="769"/>
    <d v="2025-02-17T00:00:00"/>
    <x v="0"/>
    <x v="8"/>
    <n v="482"/>
    <n v="1118"/>
    <n v="538876"/>
    <x v="1"/>
    <x v="2"/>
    <s v=""/>
    <s v=""/>
  </r>
  <r>
    <x v="770"/>
    <d v="2025-12-24T00:00:00"/>
    <x v="2"/>
    <x v="2"/>
    <n v="14"/>
    <n v="1992"/>
    <n v="27888"/>
    <x v="0"/>
    <x v="1"/>
    <d v="2026-01-07T00:00:00"/>
    <n v="14"/>
  </r>
  <r>
    <x v="771"/>
    <d v="2025-01-22T00:00:00"/>
    <x v="1"/>
    <x v="1"/>
    <n v="162"/>
    <n v="685"/>
    <n v="110970"/>
    <x v="1"/>
    <x v="0"/>
    <s v=""/>
    <s v=""/>
  </r>
  <r>
    <x v="772"/>
    <d v="2025-07-27T00:00:00"/>
    <x v="2"/>
    <x v="4"/>
    <n v="350"/>
    <n v="1609"/>
    <n v="563150"/>
    <x v="1"/>
    <x v="2"/>
    <s v=""/>
    <s v=""/>
  </r>
  <r>
    <x v="773"/>
    <d v="2025-05-18T00:00:00"/>
    <x v="2"/>
    <x v="6"/>
    <n v="195"/>
    <n v="1811"/>
    <n v="353145"/>
    <x v="2"/>
    <x v="1"/>
    <d v="2025-05-27T00:00:00"/>
    <n v="9"/>
  </r>
  <r>
    <x v="774"/>
    <d v="2025-11-10T00:00:00"/>
    <x v="2"/>
    <x v="2"/>
    <n v="409"/>
    <n v="890"/>
    <n v="364010"/>
    <x v="2"/>
    <x v="2"/>
    <s v=""/>
    <s v=""/>
  </r>
  <r>
    <x v="775"/>
    <d v="2025-12-04T00:00:00"/>
    <x v="3"/>
    <x v="8"/>
    <n v="313"/>
    <n v="971"/>
    <n v="303923"/>
    <x v="1"/>
    <x v="2"/>
    <s v=""/>
    <s v=""/>
  </r>
  <r>
    <x v="776"/>
    <d v="2025-12-23T00:00:00"/>
    <x v="3"/>
    <x v="3"/>
    <n v="313"/>
    <n v="1112"/>
    <n v="348056"/>
    <x v="2"/>
    <x v="0"/>
    <s v=""/>
    <s v=""/>
  </r>
  <r>
    <x v="777"/>
    <d v="2025-11-12T00:00:00"/>
    <x v="0"/>
    <x v="6"/>
    <n v="168"/>
    <n v="1415"/>
    <n v="237720"/>
    <x v="1"/>
    <x v="2"/>
    <s v=""/>
    <s v=""/>
  </r>
  <r>
    <x v="778"/>
    <d v="2025-03-16T00:00:00"/>
    <x v="2"/>
    <x v="6"/>
    <n v="141"/>
    <n v="700"/>
    <n v="98700"/>
    <x v="0"/>
    <x v="1"/>
    <d v="2025-03-22T00:00:00"/>
    <n v="6"/>
  </r>
  <r>
    <x v="779"/>
    <d v="2025-03-14T00:00:00"/>
    <x v="0"/>
    <x v="1"/>
    <n v="38"/>
    <n v="389"/>
    <n v="14782"/>
    <x v="1"/>
    <x v="0"/>
    <s v=""/>
    <s v=""/>
  </r>
  <r>
    <x v="780"/>
    <d v="2025-03-08T00:00:00"/>
    <x v="0"/>
    <x v="0"/>
    <n v="17"/>
    <n v="76"/>
    <n v="1292"/>
    <x v="1"/>
    <x v="0"/>
    <s v=""/>
    <s v=""/>
  </r>
  <r>
    <x v="781"/>
    <d v="2025-11-15T00:00:00"/>
    <x v="3"/>
    <x v="1"/>
    <n v="309"/>
    <n v="824"/>
    <n v="254616"/>
    <x v="2"/>
    <x v="0"/>
    <s v=""/>
    <s v=""/>
  </r>
  <r>
    <x v="782"/>
    <d v="2025-05-24T00:00:00"/>
    <x v="4"/>
    <x v="0"/>
    <n v="363"/>
    <n v="416"/>
    <n v="151008"/>
    <x v="0"/>
    <x v="0"/>
    <s v=""/>
    <s v=""/>
  </r>
  <r>
    <x v="783"/>
    <d v="2026-01-21T00:00:00"/>
    <x v="2"/>
    <x v="6"/>
    <n v="370"/>
    <n v="400"/>
    <n v="148000"/>
    <x v="1"/>
    <x v="0"/>
    <s v=""/>
    <s v=""/>
  </r>
  <r>
    <x v="784"/>
    <d v="2025-08-22T00:00:00"/>
    <x v="4"/>
    <x v="0"/>
    <n v="433"/>
    <n v="143"/>
    <n v="61919"/>
    <x v="1"/>
    <x v="1"/>
    <d v="2025-09-04T00:00:00"/>
    <n v="13"/>
  </r>
  <r>
    <x v="785"/>
    <d v="2025-09-06T00:00:00"/>
    <x v="4"/>
    <x v="1"/>
    <n v="488"/>
    <n v="657"/>
    <n v="320616"/>
    <x v="1"/>
    <x v="1"/>
    <d v="2025-09-19T00:00:00"/>
    <n v="13"/>
  </r>
  <r>
    <x v="786"/>
    <d v="2025-04-24T00:00:00"/>
    <x v="0"/>
    <x v="7"/>
    <n v="287"/>
    <n v="1719"/>
    <n v="493353"/>
    <x v="2"/>
    <x v="0"/>
    <s v=""/>
    <s v=""/>
  </r>
  <r>
    <x v="787"/>
    <d v="2026-01-16T00:00:00"/>
    <x v="0"/>
    <x v="4"/>
    <n v="114"/>
    <n v="1876"/>
    <n v="213864"/>
    <x v="1"/>
    <x v="0"/>
    <s v=""/>
    <s v=""/>
  </r>
  <r>
    <x v="788"/>
    <d v="2025-12-05T00:00:00"/>
    <x v="4"/>
    <x v="4"/>
    <n v="4"/>
    <n v="1693"/>
    <n v="6772"/>
    <x v="2"/>
    <x v="2"/>
    <s v=""/>
    <s v=""/>
  </r>
  <r>
    <x v="789"/>
    <d v="2025-09-06T00:00:00"/>
    <x v="2"/>
    <x v="8"/>
    <n v="110"/>
    <n v="1808"/>
    <n v="198880"/>
    <x v="1"/>
    <x v="1"/>
    <d v="2025-09-21T00:00:00"/>
    <n v="15"/>
  </r>
  <r>
    <x v="790"/>
    <d v="2025-02-04T00:00:00"/>
    <x v="4"/>
    <x v="9"/>
    <n v="491"/>
    <n v="105"/>
    <n v="51555"/>
    <x v="1"/>
    <x v="1"/>
    <d v="2025-02-18T00:00:00"/>
    <n v="14"/>
  </r>
  <r>
    <x v="791"/>
    <d v="2025-04-30T00:00:00"/>
    <x v="2"/>
    <x v="4"/>
    <n v="492"/>
    <n v="1560"/>
    <n v="767520"/>
    <x v="1"/>
    <x v="1"/>
    <d v="2025-05-07T00:00:00"/>
    <n v="7"/>
  </r>
  <r>
    <x v="792"/>
    <d v="2026-01-17T00:00:00"/>
    <x v="4"/>
    <x v="6"/>
    <n v="435"/>
    <n v="302"/>
    <n v="131370"/>
    <x v="1"/>
    <x v="2"/>
    <s v=""/>
    <s v=""/>
  </r>
  <r>
    <x v="793"/>
    <d v="2025-07-28T00:00:00"/>
    <x v="0"/>
    <x v="8"/>
    <n v="23"/>
    <n v="43"/>
    <n v="989"/>
    <x v="0"/>
    <x v="1"/>
    <d v="2025-08-11T00:00:00"/>
    <n v="14"/>
  </r>
  <r>
    <x v="794"/>
    <d v="2025-08-15T00:00:00"/>
    <x v="3"/>
    <x v="6"/>
    <n v="59"/>
    <n v="751"/>
    <n v="44309"/>
    <x v="1"/>
    <x v="2"/>
    <s v=""/>
    <s v=""/>
  </r>
  <r>
    <x v="795"/>
    <d v="2025-01-06T00:00:00"/>
    <x v="1"/>
    <x v="9"/>
    <n v="166"/>
    <n v="438"/>
    <n v="72708"/>
    <x v="0"/>
    <x v="0"/>
    <s v=""/>
    <s v=""/>
  </r>
  <r>
    <x v="796"/>
    <d v="2025-09-01T00:00:00"/>
    <x v="2"/>
    <x v="4"/>
    <n v="54"/>
    <n v="1762"/>
    <n v="95148"/>
    <x v="1"/>
    <x v="0"/>
    <s v=""/>
    <s v=""/>
  </r>
  <r>
    <x v="797"/>
    <d v="2025-08-30T00:00:00"/>
    <x v="3"/>
    <x v="1"/>
    <n v="69"/>
    <n v="705"/>
    <n v="48645"/>
    <x v="0"/>
    <x v="2"/>
    <s v=""/>
    <s v=""/>
  </r>
  <r>
    <x v="798"/>
    <d v="2025-06-14T00:00:00"/>
    <x v="0"/>
    <x v="9"/>
    <n v="343"/>
    <n v="1425"/>
    <n v="488775"/>
    <x v="1"/>
    <x v="0"/>
    <s v=""/>
    <s v=""/>
  </r>
  <r>
    <x v="799"/>
    <d v="2025-09-19T00:00:00"/>
    <x v="3"/>
    <x v="6"/>
    <n v="485"/>
    <n v="1358"/>
    <n v="658630"/>
    <x v="2"/>
    <x v="1"/>
    <d v="2025-10-04T00:00:00"/>
    <n v="15"/>
  </r>
  <r>
    <x v="800"/>
    <d v="2025-01-07T00:00:00"/>
    <x v="3"/>
    <x v="4"/>
    <n v="238"/>
    <n v="1412"/>
    <n v="336056"/>
    <x v="1"/>
    <x v="0"/>
    <s v=""/>
    <s v=""/>
  </r>
  <r>
    <x v="801"/>
    <d v="2025-04-26T00:00:00"/>
    <x v="3"/>
    <x v="3"/>
    <n v="275"/>
    <n v="1389"/>
    <n v="381975"/>
    <x v="1"/>
    <x v="0"/>
    <s v=""/>
    <s v=""/>
  </r>
  <r>
    <x v="802"/>
    <d v="2025-05-17T00:00:00"/>
    <x v="2"/>
    <x v="7"/>
    <n v="466"/>
    <n v="1407"/>
    <n v="655662"/>
    <x v="0"/>
    <x v="0"/>
    <s v=""/>
    <s v=""/>
  </r>
  <r>
    <x v="803"/>
    <d v="2025-01-18T00:00:00"/>
    <x v="4"/>
    <x v="7"/>
    <n v="134"/>
    <n v="197"/>
    <n v="26398"/>
    <x v="0"/>
    <x v="1"/>
    <d v="2025-01-29T00:00:00"/>
    <n v="11"/>
  </r>
  <r>
    <x v="804"/>
    <d v="2025-01-18T00:00:00"/>
    <x v="0"/>
    <x v="3"/>
    <n v="148"/>
    <n v="286"/>
    <n v="42328"/>
    <x v="1"/>
    <x v="2"/>
    <s v=""/>
    <s v=""/>
  </r>
  <r>
    <x v="805"/>
    <d v="2025-04-05T00:00:00"/>
    <x v="2"/>
    <x v="4"/>
    <n v="27"/>
    <n v="1813"/>
    <n v="48951"/>
    <x v="2"/>
    <x v="2"/>
    <s v=""/>
    <s v=""/>
  </r>
  <r>
    <x v="806"/>
    <d v="2025-01-17T00:00:00"/>
    <x v="3"/>
    <x v="4"/>
    <n v="74"/>
    <n v="675"/>
    <n v="49950"/>
    <x v="0"/>
    <x v="0"/>
    <s v=""/>
    <s v=""/>
  </r>
  <r>
    <x v="807"/>
    <d v="2025-10-24T00:00:00"/>
    <x v="4"/>
    <x v="5"/>
    <n v="199"/>
    <n v="701"/>
    <n v="139499"/>
    <x v="2"/>
    <x v="1"/>
    <d v="2025-11-06T00:00:00"/>
    <n v="13"/>
  </r>
  <r>
    <x v="808"/>
    <d v="2026-01-23T00:00:00"/>
    <x v="2"/>
    <x v="4"/>
    <n v="348"/>
    <n v="1512"/>
    <n v="526176"/>
    <x v="0"/>
    <x v="1"/>
    <d v="2026-02-05T00:00:00"/>
    <n v="13"/>
  </r>
  <r>
    <x v="809"/>
    <d v="2025-03-10T00:00:00"/>
    <x v="4"/>
    <x v="1"/>
    <n v="33"/>
    <n v="1076"/>
    <n v="35508"/>
    <x v="0"/>
    <x v="1"/>
    <d v="2025-03-22T00:00:00"/>
    <n v="12"/>
  </r>
  <r>
    <x v="810"/>
    <d v="2025-10-13T00:00:00"/>
    <x v="0"/>
    <x v="7"/>
    <n v="237"/>
    <n v="497"/>
    <n v="117789"/>
    <x v="0"/>
    <x v="2"/>
    <s v=""/>
    <s v=""/>
  </r>
  <r>
    <x v="811"/>
    <d v="2025-09-12T00:00:00"/>
    <x v="4"/>
    <x v="0"/>
    <n v="434"/>
    <n v="1672"/>
    <n v="725648"/>
    <x v="1"/>
    <x v="2"/>
    <s v=""/>
    <s v=""/>
  </r>
  <r>
    <x v="812"/>
    <d v="2025-10-06T00:00:00"/>
    <x v="3"/>
    <x v="0"/>
    <n v="290"/>
    <n v="1053"/>
    <n v="305370"/>
    <x v="0"/>
    <x v="0"/>
    <s v=""/>
    <s v=""/>
  </r>
  <r>
    <x v="813"/>
    <d v="2025-01-11T00:00:00"/>
    <x v="2"/>
    <x v="1"/>
    <n v="193"/>
    <n v="417"/>
    <n v="80481"/>
    <x v="1"/>
    <x v="0"/>
    <s v=""/>
    <s v=""/>
  </r>
  <r>
    <x v="814"/>
    <d v="2025-11-29T00:00:00"/>
    <x v="4"/>
    <x v="4"/>
    <n v="371"/>
    <n v="646"/>
    <n v="239666"/>
    <x v="2"/>
    <x v="2"/>
    <s v=""/>
    <s v=""/>
  </r>
  <r>
    <x v="815"/>
    <d v="2025-01-26T00:00:00"/>
    <x v="0"/>
    <x v="7"/>
    <n v="441"/>
    <n v="532"/>
    <n v="234612"/>
    <x v="2"/>
    <x v="1"/>
    <d v="2025-02-09T00:00:00"/>
    <n v="14"/>
  </r>
  <r>
    <x v="816"/>
    <d v="2025-12-22T00:00:00"/>
    <x v="0"/>
    <x v="9"/>
    <n v="164"/>
    <n v="1591"/>
    <n v="260924"/>
    <x v="2"/>
    <x v="0"/>
    <s v=""/>
    <s v=""/>
  </r>
  <r>
    <x v="817"/>
    <d v="2025-05-27T00:00:00"/>
    <x v="3"/>
    <x v="0"/>
    <n v="155"/>
    <n v="797"/>
    <n v="123535"/>
    <x v="2"/>
    <x v="2"/>
    <s v=""/>
    <s v=""/>
  </r>
  <r>
    <x v="818"/>
    <d v="2025-12-04T00:00:00"/>
    <x v="3"/>
    <x v="1"/>
    <n v="338"/>
    <n v="1242"/>
    <n v="419796"/>
    <x v="2"/>
    <x v="2"/>
    <s v=""/>
    <s v=""/>
  </r>
  <r>
    <x v="819"/>
    <d v="2025-11-04T00:00:00"/>
    <x v="4"/>
    <x v="4"/>
    <n v="3"/>
    <n v="1178"/>
    <n v="3534"/>
    <x v="2"/>
    <x v="0"/>
    <s v=""/>
    <s v=""/>
  </r>
  <r>
    <x v="820"/>
    <d v="2025-08-30T00:00:00"/>
    <x v="1"/>
    <x v="5"/>
    <n v="435"/>
    <n v="401"/>
    <n v="174435"/>
    <x v="2"/>
    <x v="1"/>
    <d v="2025-09-06T00:00:00"/>
    <n v="7"/>
  </r>
  <r>
    <x v="821"/>
    <d v="2026-01-08T00:00:00"/>
    <x v="2"/>
    <x v="7"/>
    <n v="288"/>
    <n v="1165"/>
    <n v="335520"/>
    <x v="0"/>
    <x v="2"/>
    <s v=""/>
    <s v=""/>
  </r>
  <r>
    <x v="822"/>
    <d v="2025-11-12T00:00:00"/>
    <x v="2"/>
    <x v="9"/>
    <n v="192"/>
    <n v="1478"/>
    <n v="283776"/>
    <x v="2"/>
    <x v="1"/>
    <d v="2025-11-22T00:00:00"/>
    <n v="10"/>
  </r>
  <r>
    <x v="823"/>
    <d v="2025-08-13T00:00:00"/>
    <x v="3"/>
    <x v="5"/>
    <n v="410"/>
    <n v="1334"/>
    <n v="546940"/>
    <x v="1"/>
    <x v="2"/>
    <s v=""/>
    <s v=""/>
  </r>
  <r>
    <x v="824"/>
    <d v="2025-09-19T00:00:00"/>
    <x v="0"/>
    <x v="9"/>
    <n v="199"/>
    <n v="306"/>
    <n v="60894"/>
    <x v="2"/>
    <x v="1"/>
    <d v="2025-10-03T00:00:00"/>
    <n v="14"/>
  </r>
  <r>
    <x v="825"/>
    <d v="2025-09-05T00:00:00"/>
    <x v="3"/>
    <x v="3"/>
    <n v="331"/>
    <n v="1447"/>
    <n v="478957"/>
    <x v="2"/>
    <x v="1"/>
    <d v="2025-09-17T00:00:00"/>
    <n v="12"/>
  </r>
  <r>
    <x v="826"/>
    <d v="2025-03-30T00:00:00"/>
    <x v="1"/>
    <x v="5"/>
    <n v="107"/>
    <n v="507"/>
    <n v="54249"/>
    <x v="0"/>
    <x v="0"/>
    <s v=""/>
    <s v=""/>
  </r>
  <r>
    <x v="827"/>
    <d v="2025-06-19T00:00:00"/>
    <x v="2"/>
    <x v="8"/>
    <n v="408"/>
    <n v="1336"/>
    <n v="545088"/>
    <x v="2"/>
    <x v="2"/>
    <s v=""/>
    <s v=""/>
  </r>
  <r>
    <x v="828"/>
    <d v="2025-01-13T00:00:00"/>
    <x v="2"/>
    <x v="4"/>
    <n v="47"/>
    <n v="653"/>
    <n v="30691"/>
    <x v="0"/>
    <x v="0"/>
    <s v=""/>
    <s v=""/>
  </r>
  <r>
    <x v="829"/>
    <d v="2025-06-25T00:00:00"/>
    <x v="1"/>
    <x v="5"/>
    <n v="417"/>
    <n v="329"/>
    <n v="137193"/>
    <x v="1"/>
    <x v="0"/>
    <s v=""/>
    <s v=""/>
  </r>
  <r>
    <x v="830"/>
    <d v="2025-03-06T00:00:00"/>
    <x v="0"/>
    <x v="4"/>
    <n v="148"/>
    <n v="1341"/>
    <n v="198468"/>
    <x v="1"/>
    <x v="1"/>
    <d v="2025-03-11T00:00:00"/>
    <n v="5"/>
  </r>
  <r>
    <x v="831"/>
    <d v="2025-02-05T00:00:00"/>
    <x v="1"/>
    <x v="3"/>
    <n v="495"/>
    <n v="687"/>
    <n v="340065"/>
    <x v="0"/>
    <x v="1"/>
    <d v="2025-02-15T00:00:00"/>
    <n v="10"/>
  </r>
  <r>
    <x v="832"/>
    <d v="2025-03-12T00:00:00"/>
    <x v="4"/>
    <x v="9"/>
    <n v="212"/>
    <n v="18"/>
    <n v="3816"/>
    <x v="2"/>
    <x v="1"/>
    <d v="2025-03-17T00:00:00"/>
    <n v="5"/>
  </r>
  <r>
    <x v="833"/>
    <d v="2025-09-03T00:00:00"/>
    <x v="3"/>
    <x v="8"/>
    <n v="482"/>
    <n v="102"/>
    <n v="49164"/>
    <x v="1"/>
    <x v="0"/>
    <s v=""/>
    <s v=""/>
  </r>
  <r>
    <x v="834"/>
    <d v="2026-01-03T00:00:00"/>
    <x v="3"/>
    <x v="7"/>
    <n v="329"/>
    <n v="325"/>
    <n v="106925"/>
    <x v="0"/>
    <x v="1"/>
    <d v="2026-01-09T00:00:00"/>
    <n v="6"/>
  </r>
  <r>
    <x v="835"/>
    <d v="2025-07-31T00:00:00"/>
    <x v="3"/>
    <x v="9"/>
    <n v="92"/>
    <n v="800"/>
    <n v="73600"/>
    <x v="0"/>
    <x v="1"/>
    <d v="2025-08-05T00:00:00"/>
    <n v="5"/>
  </r>
  <r>
    <x v="836"/>
    <d v="2025-09-12T00:00:00"/>
    <x v="2"/>
    <x v="5"/>
    <n v="322"/>
    <n v="116"/>
    <n v="37352"/>
    <x v="1"/>
    <x v="2"/>
    <s v=""/>
    <s v=""/>
  </r>
  <r>
    <x v="837"/>
    <d v="2025-11-26T00:00:00"/>
    <x v="0"/>
    <x v="3"/>
    <n v="117"/>
    <n v="81"/>
    <n v="9477"/>
    <x v="1"/>
    <x v="0"/>
    <s v=""/>
    <s v=""/>
  </r>
  <r>
    <x v="838"/>
    <d v="2025-04-18T00:00:00"/>
    <x v="2"/>
    <x v="2"/>
    <n v="85"/>
    <n v="888"/>
    <n v="75480"/>
    <x v="2"/>
    <x v="1"/>
    <d v="2025-04-29T00:00:00"/>
    <n v="11"/>
  </r>
  <r>
    <x v="839"/>
    <d v="2025-11-25T00:00:00"/>
    <x v="3"/>
    <x v="3"/>
    <n v="151"/>
    <n v="974"/>
    <n v="147074"/>
    <x v="1"/>
    <x v="1"/>
    <d v="2025-12-07T00:00:00"/>
    <n v="12"/>
  </r>
  <r>
    <x v="840"/>
    <d v="2025-12-03T00:00:00"/>
    <x v="4"/>
    <x v="1"/>
    <n v="204"/>
    <n v="942"/>
    <n v="192168"/>
    <x v="1"/>
    <x v="1"/>
    <d v="2025-12-17T00:00:00"/>
    <n v="14"/>
  </r>
  <r>
    <x v="841"/>
    <d v="2025-04-15T00:00:00"/>
    <x v="2"/>
    <x v="5"/>
    <n v="468"/>
    <n v="1156"/>
    <n v="541008"/>
    <x v="0"/>
    <x v="0"/>
    <s v=""/>
    <s v=""/>
  </r>
  <r>
    <x v="842"/>
    <d v="2025-05-19T00:00:00"/>
    <x v="0"/>
    <x v="4"/>
    <n v="363"/>
    <n v="1340"/>
    <n v="486420"/>
    <x v="0"/>
    <x v="1"/>
    <d v="2025-05-27T00:00:00"/>
    <n v="8"/>
  </r>
  <r>
    <x v="843"/>
    <d v="2025-11-17T00:00:00"/>
    <x v="3"/>
    <x v="3"/>
    <n v="332"/>
    <n v="597"/>
    <n v="198204"/>
    <x v="1"/>
    <x v="2"/>
    <s v=""/>
    <s v=""/>
  </r>
  <r>
    <x v="844"/>
    <d v="2025-04-16T00:00:00"/>
    <x v="1"/>
    <x v="2"/>
    <n v="161"/>
    <n v="1723"/>
    <n v="277403"/>
    <x v="1"/>
    <x v="0"/>
    <s v=""/>
    <s v=""/>
  </r>
  <r>
    <x v="845"/>
    <d v="2025-10-30T00:00:00"/>
    <x v="2"/>
    <x v="7"/>
    <n v="387"/>
    <n v="1541"/>
    <n v="596367"/>
    <x v="2"/>
    <x v="1"/>
    <d v="2025-11-08T00:00:00"/>
    <n v="9"/>
  </r>
  <r>
    <x v="846"/>
    <d v="2025-08-20T00:00:00"/>
    <x v="3"/>
    <x v="4"/>
    <n v="77"/>
    <n v="1389"/>
    <n v="106953"/>
    <x v="2"/>
    <x v="0"/>
    <s v=""/>
    <s v=""/>
  </r>
  <r>
    <x v="847"/>
    <d v="2025-04-10T00:00:00"/>
    <x v="3"/>
    <x v="2"/>
    <n v="163"/>
    <n v="1537"/>
    <n v="250531"/>
    <x v="0"/>
    <x v="2"/>
    <s v=""/>
    <s v=""/>
  </r>
  <r>
    <x v="848"/>
    <d v="2025-09-16T00:00:00"/>
    <x v="2"/>
    <x v="8"/>
    <n v="267"/>
    <n v="1480"/>
    <n v="395160"/>
    <x v="2"/>
    <x v="0"/>
    <s v=""/>
    <s v=""/>
  </r>
  <r>
    <x v="849"/>
    <d v="2025-09-03T00:00:00"/>
    <x v="1"/>
    <x v="4"/>
    <n v="67"/>
    <n v="1737"/>
    <n v="116379"/>
    <x v="2"/>
    <x v="1"/>
    <d v="2025-09-17T00:00:00"/>
    <n v="14"/>
  </r>
  <r>
    <x v="850"/>
    <d v="2025-12-26T00:00:00"/>
    <x v="1"/>
    <x v="8"/>
    <n v="476"/>
    <n v="1493"/>
    <n v="710668"/>
    <x v="1"/>
    <x v="1"/>
    <d v="2026-01-01T00:00:00"/>
    <n v="6"/>
  </r>
  <r>
    <x v="851"/>
    <d v="2025-04-30T00:00:00"/>
    <x v="3"/>
    <x v="0"/>
    <n v="95"/>
    <n v="487"/>
    <n v="46265"/>
    <x v="1"/>
    <x v="2"/>
    <s v=""/>
    <s v=""/>
  </r>
  <r>
    <x v="852"/>
    <d v="2025-04-24T00:00:00"/>
    <x v="0"/>
    <x v="0"/>
    <n v="162"/>
    <n v="860"/>
    <n v="139320"/>
    <x v="2"/>
    <x v="1"/>
    <d v="2025-05-08T00:00:00"/>
    <n v="14"/>
  </r>
  <r>
    <x v="853"/>
    <d v="2025-03-02T00:00:00"/>
    <x v="3"/>
    <x v="1"/>
    <n v="115"/>
    <n v="873"/>
    <n v="100395"/>
    <x v="1"/>
    <x v="0"/>
    <s v=""/>
    <s v=""/>
  </r>
  <r>
    <x v="854"/>
    <d v="2025-03-09T00:00:00"/>
    <x v="3"/>
    <x v="4"/>
    <n v="423"/>
    <n v="1786"/>
    <n v="755478"/>
    <x v="1"/>
    <x v="1"/>
    <d v="2025-03-16T00:00:00"/>
    <n v="7"/>
  </r>
  <r>
    <x v="855"/>
    <d v="2025-07-02T00:00:00"/>
    <x v="3"/>
    <x v="1"/>
    <n v="336"/>
    <n v="371"/>
    <n v="124656"/>
    <x v="2"/>
    <x v="1"/>
    <d v="2025-07-07T00:00:00"/>
    <n v="5"/>
  </r>
  <r>
    <x v="856"/>
    <d v="2025-05-10T00:00:00"/>
    <x v="1"/>
    <x v="0"/>
    <n v="432"/>
    <n v="970"/>
    <n v="419040"/>
    <x v="2"/>
    <x v="1"/>
    <d v="2025-05-18T00:00:00"/>
    <n v="8"/>
  </r>
  <r>
    <x v="857"/>
    <d v="2025-04-15T00:00:00"/>
    <x v="4"/>
    <x v="1"/>
    <n v="316"/>
    <n v="110"/>
    <n v="34760"/>
    <x v="0"/>
    <x v="0"/>
    <s v=""/>
    <s v=""/>
  </r>
  <r>
    <x v="858"/>
    <d v="2025-05-09T00:00:00"/>
    <x v="0"/>
    <x v="8"/>
    <n v="377"/>
    <n v="385"/>
    <n v="145145"/>
    <x v="0"/>
    <x v="2"/>
    <s v=""/>
    <s v=""/>
  </r>
  <r>
    <x v="859"/>
    <d v="2025-06-16T00:00:00"/>
    <x v="2"/>
    <x v="6"/>
    <n v="341"/>
    <n v="1493"/>
    <n v="509113"/>
    <x v="1"/>
    <x v="1"/>
    <d v="2025-06-29T00:00:00"/>
    <n v="13"/>
  </r>
  <r>
    <x v="860"/>
    <d v="2025-03-31T00:00:00"/>
    <x v="0"/>
    <x v="6"/>
    <n v="203"/>
    <n v="1314"/>
    <n v="266742"/>
    <x v="2"/>
    <x v="1"/>
    <d v="2025-04-14T00:00:00"/>
    <n v="14"/>
  </r>
  <r>
    <x v="861"/>
    <d v="2025-05-08T00:00:00"/>
    <x v="0"/>
    <x v="6"/>
    <n v="433"/>
    <n v="767"/>
    <n v="332111"/>
    <x v="0"/>
    <x v="2"/>
    <s v=""/>
    <s v=""/>
  </r>
  <r>
    <x v="862"/>
    <d v="2025-12-13T00:00:00"/>
    <x v="0"/>
    <x v="8"/>
    <n v="157"/>
    <n v="1455"/>
    <n v="228435"/>
    <x v="1"/>
    <x v="0"/>
    <s v=""/>
    <s v=""/>
  </r>
  <r>
    <x v="863"/>
    <d v="2025-03-29T00:00:00"/>
    <x v="1"/>
    <x v="6"/>
    <n v="472"/>
    <n v="1960"/>
    <n v="925120"/>
    <x v="1"/>
    <x v="0"/>
    <s v=""/>
    <s v=""/>
  </r>
  <r>
    <x v="864"/>
    <d v="2025-10-22T00:00:00"/>
    <x v="4"/>
    <x v="7"/>
    <n v="416"/>
    <n v="489"/>
    <n v="203424"/>
    <x v="1"/>
    <x v="2"/>
    <s v=""/>
    <s v=""/>
  </r>
  <r>
    <x v="865"/>
    <d v="2025-07-17T00:00:00"/>
    <x v="4"/>
    <x v="6"/>
    <n v="140"/>
    <n v="841"/>
    <n v="117740"/>
    <x v="0"/>
    <x v="0"/>
    <s v=""/>
    <s v=""/>
  </r>
  <r>
    <x v="866"/>
    <d v="2025-04-30T00:00:00"/>
    <x v="1"/>
    <x v="4"/>
    <n v="185"/>
    <n v="1739"/>
    <n v="321715"/>
    <x v="0"/>
    <x v="1"/>
    <d v="2025-05-06T00:00:00"/>
    <n v="6"/>
  </r>
  <r>
    <x v="867"/>
    <d v="2025-09-07T00:00:00"/>
    <x v="2"/>
    <x v="5"/>
    <n v="243"/>
    <n v="1417"/>
    <n v="344331"/>
    <x v="1"/>
    <x v="0"/>
    <s v=""/>
    <s v=""/>
  </r>
  <r>
    <x v="868"/>
    <d v="2025-05-04T00:00:00"/>
    <x v="1"/>
    <x v="8"/>
    <n v="82"/>
    <n v="1162"/>
    <n v="95284"/>
    <x v="2"/>
    <x v="0"/>
    <s v=""/>
    <s v=""/>
  </r>
  <r>
    <x v="869"/>
    <d v="2025-01-07T00:00:00"/>
    <x v="1"/>
    <x v="1"/>
    <n v="499"/>
    <n v="690"/>
    <n v="344310"/>
    <x v="1"/>
    <x v="2"/>
    <s v=""/>
    <s v=""/>
  </r>
  <r>
    <x v="870"/>
    <d v="2025-05-14T00:00:00"/>
    <x v="1"/>
    <x v="3"/>
    <n v="157"/>
    <n v="1293"/>
    <n v="203001"/>
    <x v="2"/>
    <x v="0"/>
    <s v=""/>
    <s v=""/>
  </r>
  <r>
    <x v="871"/>
    <d v="2025-03-01T00:00:00"/>
    <x v="4"/>
    <x v="5"/>
    <n v="325"/>
    <n v="1594"/>
    <n v="518050"/>
    <x v="1"/>
    <x v="0"/>
    <s v=""/>
    <s v=""/>
  </r>
  <r>
    <x v="872"/>
    <d v="2025-07-22T00:00:00"/>
    <x v="0"/>
    <x v="0"/>
    <n v="238"/>
    <n v="896"/>
    <n v="213248"/>
    <x v="0"/>
    <x v="0"/>
    <s v=""/>
    <s v=""/>
  </r>
  <r>
    <x v="873"/>
    <d v="2025-06-17T00:00:00"/>
    <x v="0"/>
    <x v="8"/>
    <n v="414"/>
    <n v="460"/>
    <n v="190440"/>
    <x v="2"/>
    <x v="2"/>
    <s v=""/>
    <s v=""/>
  </r>
  <r>
    <x v="874"/>
    <d v="2025-01-11T00:00:00"/>
    <x v="2"/>
    <x v="7"/>
    <n v="369"/>
    <n v="1115"/>
    <n v="411435"/>
    <x v="0"/>
    <x v="2"/>
    <s v=""/>
    <s v=""/>
  </r>
  <r>
    <x v="875"/>
    <d v="2025-10-01T00:00:00"/>
    <x v="4"/>
    <x v="7"/>
    <n v="221"/>
    <n v="896"/>
    <n v="198016"/>
    <x v="1"/>
    <x v="2"/>
    <s v=""/>
    <s v=""/>
  </r>
  <r>
    <x v="876"/>
    <d v="2025-07-11T00:00:00"/>
    <x v="4"/>
    <x v="5"/>
    <n v="453"/>
    <n v="181"/>
    <n v="81993"/>
    <x v="2"/>
    <x v="1"/>
    <d v="2025-07-16T00:00:00"/>
    <n v="5"/>
  </r>
  <r>
    <x v="877"/>
    <d v="2025-09-19T00:00:00"/>
    <x v="4"/>
    <x v="9"/>
    <n v="90"/>
    <n v="1695"/>
    <n v="152550"/>
    <x v="2"/>
    <x v="0"/>
    <s v=""/>
    <s v=""/>
  </r>
  <r>
    <x v="878"/>
    <d v="2025-01-03T00:00:00"/>
    <x v="2"/>
    <x v="2"/>
    <n v="261"/>
    <n v="146"/>
    <n v="38106"/>
    <x v="0"/>
    <x v="2"/>
    <s v=""/>
    <s v=""/>
  </r>
  <r>
    <x v="879"/>
    <d v="2025-03-25T00:00:00"/>
    <x v="1"/>
    <x v="8"/>
    <n v="75"/>
    <n v="1852"/>
    <n v="138900"/>
    <x v="2"/>
    <x v="0"/>
    <s v=""/>
    <s v=""/>
  </r>
  <r>
    <x v="880"/>
    <d v="2025-08-18T00:00:00"/>
    <x v="3"/>
    <x v="5"/>
    <n v="57"/>
    <n v="1523"/>
    <n v="86811"/>
    <x v="2"/>
    <x v="0"/>
    <s v=""/>
    <s v=""/>
  </r>
  <r>
    <x v="881"/>
    <d v="2025-06-30T00:00:00"/>
    <x v="1"/>
    <x v="1"/>
    <n v="176"/>
    <n v="265"/>
    <n v="46640"/>
    <x v="1"/>
    <x v="0"/>
    <s v=""/>
    <s v=""/>
  </r>
  <r>
    <x v="882"/>
    <d v="2025-11-07T00:00:00"/>
    <x v="1"/>
    <x v="5"/>
    <n v="131"/>
    <n v="1120"/>
    <n v="146720"/>
    <x v="1"/>
    <x v="0"/>
    <s v=""/>
    <s v=""/>
  </r>
  <r>
    <x v="883"/>
    <d v="2025-12-02T00:00:00"/>
    <x v="3"/>
    <x v="7"/>
    <n v="277"/>
    <n v="1897"/>
    <n v="525469"/>
    <x v="0"/>
    <x v="2"/>
    <s v=""/>
    <s v=""/>
  </r>
  <r>
    <x v="884"/>
    <d v="2025-03-17T00:00:00"/>
    <x v="4"/>
    <x v="9"/>
    <n v="142"/>
    <n v="1085"/>
    <n v="154070"/>
    <x v="0"/>
    <x v="0"/>
    <s v=""/>
    <s v=""/>
  </r>
  <r>
    <x v="885"/>
    <d v="2025-07-03T00:00:00"/>
    <x v="2"/>
    <x v="9"/>
    <n v="362"/>
    <n v="11"/>
    <n v="3982"/>
    <x v="0"/>
    <x v="1"/>
    <d v="2025-07-17T00:00:00"/>
    <n v="14"/>
  </r>
  <r>
    <x v="886"/>
    <d v="2026-01-25T00:00:00"/>
    <x v="0"/>
    <x v="6"/>
    <n v="9"/>
    <n v="1070"/>
    <n v="9630"/>
    <x v="2"/>
    <x v="1"/>
    <d v="2026-02-08T00:00:00"/>
    <n v="14"/>
  </r>
  <r>
    <x v="887"/>
    <d v="2025-10-17T00:00:00"/>
    <x v="0"/>
    <x v="5"/>
    <n v="320"/>
    <n v="1846"/>
    <n v="590720"/>
    <x v="0"/>
    <x v="0"/>
    <s v=""/>
    <s v=""/>
  </r>
  <r>
    <x v="888"/>
    <d v="2025-12-16T00:00:00"/>
    <x v="0"/>
    <x v="4"/>
    <n v="153"/>
    <n v="545"/>
    <n v="83385"/>
    <x v="2"/>
    <x v="0"/>
    <s v=""/>
    <s v=""/>
  </r>
  <r>
    <x v="889"/>
    <d v="2026-01-15T00:00:00"/>
    <x v="3"/>
    <x v="3"/>
    <n v="334"/>
    <n v="1162"/>
    <n v="388108"/>
    <x v="0"/>
    <x v="0"/>
    <s v=""/>
    <s v=""/>
  </r>
  <r>
    <x v="890"/>
    <d v="2025-03-05T00:00:00"/>
    <x v="1"/>
    <x v="8"/>
    <n v="108"/>
    <n v="1889"/>
    <n v="204012"/>
    <x v="0"/>
    <x v="0"/>
    <s v=""/>
    <s v=""/>
  </r>
  <r>
    <x v="891"/>
    <d v="2025-10-17T00:00:00"/>
    <x v="0"/>
    <x v="3"/>
    <n v="182"/>
    <n v="1705"/>
    <n v="310310"/>
    <x v="2"/>
    <x v="2"/>
    <s v=""/>
    <s v=""/>
  </r>
  <r>
    <x v="892"/>
    <d v="2025-02-18T00:00:00"/>
    <x v="0"/>
    <x v="4"/>
    <n v="458"/>
    <n v="195"/>
    <n v="89310"/>
    <x v="0"/>
    <x v="0"/>
    <s v=""/>
    <s v=""/>
  </r>
  <r>
    <x v="893"/>
    <d v="2025-12-22T00:00:00"/>
    <x v="0"/>
    <x v="4"/>
    <n v="85"/>
    <n v="866"/>
    <n v="73610"/>
    <x v="1"/>
    <x v="2"/>
    <s v=""/>
    <s v=""/>
  </r>
  <r>
    <x v="894"/>
    <d v="2025-08-20T00:00:00"/>
    <x v="2"/>
    <x v="5"/>
    <n v="69"/>
    <n v="1831"/>
    <n v="126339"/>
    <x v="0"/>
    <x v="1"/>
    <d v="2025-08-27T00:00:00"/>
    <n v="7"/>
  </r>
  <r>
    <x v="895"/>
    <d v="2025-03-09T00:00:00"/>
    <x v="4"/>
    <x v="8"/>
    <n v="249"/>
    <n v="604"/>
    <n v="150396"/>
    <x v="0"/>
    <x v="2"/>
    <s v=""/>
    <s v=""/>
  </r>
  <r>
    <x v="896"/>
    <d v="2025-11-25T00:00:00"/>
    <x v="0"/>
    <x v="1"/>
    <n v="306"/>
    <n v="433"/>
    <n v="132498"/>
    <x v="0"/>
    <x v="1"/>
    <d v="2025-12-03T00:00:00"/>
    <n v="8"/>
  </r>
  <r>
    <x v="897"/>
    <d v="2025-04-29T00:00:00"/>
    <x v="2"/>
    <x v="7"/>
    <n v="414"/>
    <n v="16"/>
    <n v="6624"/>
    <x v="0"/>
    <x v="2"/>
    <s v=""/>
    <s v=""/>
  </r>
  <r>
    <x v="898"/>
    <d v="2025-07-27T00:00:00"/>
    <x v="2"/>
    <x v="6"/>
    <n v="363"/>
    <n v="612"/>
    <n v="222156"/>
    <x v="0"/>
    <x v="0"/>
    <s v=""/>
    <s v=""/>
  </r>
  <r>
    <x v="899"/>
    <d v="2025-09-30T00:00:00"/>
    <x v="2"/>
    <x v="4"/>
    <n v="298"/>
    <n v="1799"/>
    <n v="536102"/>
    <x v="2"/>
    <x v="1"/>
    <d v="2025-10-09T00:00:00"/>
    <n v="9"/>
  </r>
  <r>
    <x v="900"/>
    <d v="2026-01-16T00:00:00"/>
    <x v="1"/>
    <x v="8"/>
    <n v="446"/>
    <n v="334"/>
    <n v="148964"/>
    <x v="1"/>
    <x v="2"/>
    <s v=""/>
    <s v=""/>
  </r>
  <r>
    <x v="901"/>
    <d v="2025-07-29T00:00:00"/>
    <x v="2"/>
    <x v="7"/>
    <n v="233"/>
    <n v="805"/>
    <n v="187565"/>
    <x v="1"/>
    <x v="0"/>
    <s v=""/>
    <s v=""/>
  </r>
  <r>
    <x v="902"/>
    <d v="2025-03-23T00:00:00"/>
    <x v="0"/>
    <x v="4"/>
    <n v="459"/>
    <n v="1622"/>
    <n v="744498"/>
    <x v="1"/>
    <x v="0"/>
    <s v=""/>
    <s v=""/>
  </r>
  <r>
    <x v="903"/>
    <d v="2025-09-23T00:00:00"/>
    <x v="4"/>
    <x v="3"/>
    <n v="95"/>
    <n v="231"/>
    <n v="21945"/>
    <x v="2"/>
    <x v="2"/>
    <s v=""/>
    <s v=""/>
  </r>
  <r>
    <x v="904"/>
    <d v="2025-02-03T00:00:00"/>
    <x v="2"/>
    <x v="5"/>
    <n v="430"/>
    <n v="670"/>
    <n v="288100"/>
    <x v="1"/>
    <x v="1"/>
    <d v="2025-02-15T00:00:00"/>
    <n v="12"/>
  </r>
  <r>
    <x v="905"/>
    <d v="2025-10-02T00:00:00"/>
    <x v="2"/>
    <x v="5"/>
    <n v="300"/>
    <n v="1524"/>
    <n v="457200"/>
    <x v="2"/>
    <x v="1"/>
    <d v="2025-10-13T00:00:00"/>
    <n v="11"/>
  </r>
  <r>
    <x v="906"/>
    <d v="2025-06-13T00:00:00"/>
    <x v="1"/>
    <x v="0"/>
    <n v="364"/>
    <n v="1965"/>
    <n v="715260"/>
    <x v="0"/>
    <x v="1"/>
    <d v="2025-06-22T00:00:00"/>
    <n v="9"/>
  </r>
  <r>
    <x v="907"/>
    <d v="2025-06-23T00:00:00"/>
    <x v="1"/>
    <x v="8"/>
    <n v="228"/>
    <n v="425"/>
    <n v="96900"/>
    <x v="1"/>
    <x v="1"/>
    <d v="2025-07-03T00:00:00"/>
    <n v="10"/>
  </r>
  <r>
    <x v="908"/>
    <d v="2026-01-01T00:00:00"/>
    <x v="2"/>
    <x v="8"/>
    <n v="213"/>
    <n v="345"/>
    <n v="73485"/>
    <x v="0"/>
    <x v="2"/>
    <s v=""/>
    <s v=""/>
  </r>
  <r>
    <x v="909"/>
    <d v="2025-11-03T00:00:00"/>
    <x v="3"/>
    <x v="2"/>
    <n v="134"/>
    <n v="851"/>
    <n v="114034"/>
    <x v="0"/>
    <x v="0"/>
    <s v=""/>
    <s v=""/>
  </r>
  <r>
    <x v="910"/>
    <d v="2025-11-17T00:00:00"/>
    <x v="3"/>
    <x v="8"/>
    <n v="104"/>
    <n v="1854"/>
    <n v="192816"/>
    <x v="2"/>
    <x v="2"/>
    <s v=""/>
    <s v=""/>
  </r>
  <r>
    <x v="911"/>
    <d v="2025-08-22T00:00:00"/>
    <x v="0"/>
    <x v="1"/>
    <n v="327"/>
    <n v="1505"/>
    <n v="492135"/>
    <x v="0"/>
    <x v="0"/>
    <s v=""/>
    <s v=""/>
  </r>
  <r>
    <x v="912"/>
    <d v="2025-02-11T00:00:00"/>
    <x v="0"/>
    <x v="9"/>
    <n v="195"/>
    <n v="1321"/>
    <n v="257595"/>
    <x v="2"/>
    <x v="0"/>
    <s v=""/>
    <s v=""/>
  </r>
  <r>
    <x v="913"/>
    <d v="2025-10-11T00:00:00"/>
    <x v="4"/>
    <x v="7"/>
    <n v="3"/>
    <n v="150"/>
    <n v="450"/>
    <x v="1"/>
    <x v="2"/>
    <s v=""/>
    <s v=""/>
  </r>
  <r>
    <x v="914"/>
    <d v="2025-08-23T00:00:00"/>
    <x v="3"/>
    <x v="4"/>
    <n v="129"/>
    <n v="1595"/>
    <n v="205755"/>
    <x v="2"/>
    <x v="1"/>
    <d v="2025-09-03T00:00:00"/>
    <n v="11"/>
  </r>
  <r>
    <x v="915"/>
    <d v="2026-01-20T00:00:00"/>
    <x v="4"/>
    <x v="8"/>
    <n v="211"/>
    <n v="72"/>
    <n v="15192"/>
    <x v="2"/>
    <x v="0"/>
    <s v=""/>
    <s v=""/>
  </r>
  <r>
    <x v="916"/>
    <d v="2025-04-07T00:00:00"/>
    <x v="1"/>
    <x v="1"/>
    <n v="99"/>
    <n v="396"/>
    <n v="39204"/>
    <x v="2"/>
    <x v="0"/>
    <s v=""/>
    <s v=""/>
  </r>
  <r>
    <x v="917"/>
    <d v="2025-11-29T00:00:00"/>
    <x v="2"/>
    <x v="3"/>
    <n v="230"/>
    <n v="1957"/>
    <n v="450110"/>
    <x v="1"/>
    <x v="2"/>
    <s v=""/>
    <s v=""/>
  </r>
  <r>
    <x v="918"/>
    <d v="2025-05-04T00:00:00"/>
    <x v="4"/>
    <x v="3"/>
    <n v="137"/>
    <n v="1606"/>
    <n v="220022"/>
    <x v="2"/>
    <x v="1"/>
    <d v="2025-05-16T00:00:00"/>
    <n v="12"/>
  </r>
  <r>
    <x v="919"/>
    <d v="2025-11-27T00:00:00"/>
    <x v="3"/>
    <x v="8"/>
    <n v="475"/>
    <n v="1103"/>
    <n v="523925"/>
    <x v="2"/>
    <x v="2"/>
    <s v=""/>
    <s v=""/>
  </r>
  <r>
    <x v="920"/>
    <d v="2025-10-31T00:00:00"/>
    <x v="0"/>
    <x v="4"/>
    <n v="182"/>
    <n v="551"/>
    <n v="100282"/>
    <x v="1"/>
    <x v="0"/>
    <s v=""/>
    <s v=""/>
  </r>
  <r>
    <x v="921"/>
    <d v="2026-01-06T00:00:00"/>
    <x v="1"/>
    <x v="0"/>
    <n v="332"/>
    <n v="624"/>
    <n v="207168"/>
    <x v="0"/>
    <x v="0"/>
    <s v=""/>
    <s v=""/>
  </r>
  <r>
    <x v="922"/>
    <d v="2025-05-02T00:00:00"/>
    <x v="1"/>
    <x v="7"/>
    <n v="248"/>
    <n v="856"/>
    <n v="212288"/>
    <x v="0"/>
    <x v="1"/>
    <d v="2025-05-12T00:00:00"/>
    <n v="10"/>
  </r>
  <r>
    <x v="923"/>
    <d v="2025-11-03T00:00:00"/>
    <x v="0"/>
    <x v="8"/>
    <n v="223"/>
    <n v="213"/>
    <n v="47499"/>
    <x v="0"/>
    <x v="1"/>
    <d v="2025-11-09T00:00:00"/>
    <n v="6"/>
  </r>
  <r>
    <x v="924"/>
    <d v="2025-03-04T00:00:00"/>
    <x v="4"/>
    <x v="0"/>
    <n v="344"/>
    <n v="1097"/>
    <n v="377368"/>
    <x v="2"/>
    <x v="2"/>
    <s v=""/>
    <s v=""/>
  </r>
  <r>
    <x v="925"/>
    <d v="2025-08-27T00:00:00"/>
    <x v="4"/>
    <x v="0"/>
    <n v="199"/>
    <n v="1875"/>
    <n v="373125"/>
    <x v="2"/>
    <x v="2"/>
    <s v=""/>
    <s v=""/>
  </r>
  <r>
    <x v="926"/>
    <d v="2025-08-29T00:00:00"/>
    <x v="0"/>
    <x v="1"/>
    <n v="255"/>
    <n v="361"/>
    <n v="92055"/>
    <x v="2"/>
    <x v="2"/>
    <s v=""/>
    <s v=""/>
  </r>
  <r>
    <x v="927"/>
    <d v="2025-12-06T00:00:00"/>
    <x v="2"/>
    <x v="3"/>
    <n v="474"/>
    <n v="1860"/>
    <n v="881640"/>
    <x v="2"/>
    <x v="0"/>
    <s v=""/>
    <s v=""/>
  </r>
  <r>
    <x v="928"/>
    <d v="2025-04-14T00:00:00"/>
    <x v="1"/>
    <x v="4"/>
    <n v="182"/>
    <n v="1303"/>
    <n v="237146"/>
    <x v="2"/>
    <x v="2"/>
    <s v=""/>
    <s v=""/>
  </r>
  <r>
    <x v="929"/>
    <d v="2025-07-21T00:00:00"/>
    <x v="2"/>
    <x v="9"/>
    <n v="219"/>
    <n v="221"/>
    <n v="48399"/>
    <x v="1"/>
    <x v="2"/>
    <s v=""/>
    <s v=""/>
  </r>
  <r>
    <x v="930"/>
    <d v="2025-11-30T00:00:00"/>
    <x v="0"/>
    <x v="0"/>
    <n v="209"/>
    <n v="210"/>
    <n v="43890"/>
    <x v="2"/>
    <x v="1"/>
    <d v="2025-12-05T00:00:00"/>
    <n v="5"/>
  </r>
  <r>
    <x v="931"/>
    <d v="2026-01-08T00:00:00"/>
    <x v="2"/>
    <x v="0"/>
    <n v="277"/>
    <n v="1340"/>
    <n v="371180"/>
    <x v="2"/>
    <x v="0"/>
    <s v=""/>
    <s v=""/>
  </r>
  <r>
    <x v="932"/>
    <d v="2025-09-04T00:00:00"/>
    <x v="4"/>
    <x v="1"/>
    <n v="236"/>
    <n v="111"/>
    <n v="26196"/>
    <x v="0"/>
    <x v="0"/>
    <s v=""/>
    <s v=""/>
  </r>
  <r>
    <x v="933"/>
    <d v="2025-09-12T00:00:00"/>
    <x v="0"/>
    <x v="9"/>
    <n v="388"/>
    <n v="771"/>
    <n v="299148"/>
    <x v="0"/>
    <x v="2"/>
    <s v=""/>
    <s v=""/>
  </r>
  <r>
    <x v="934"/>
    <d v="2025-11-08T00:00:00"/>
    <x v="2"/>
    <x v="3"/>
    <n v="163"/>
    <n v="1242"/>
    <n v="202446"/>
    <x v="1"/>
    <x v="2"/>
    <s v=""/>
    <s v=""/>
  </r>
  <r>
    <x v="935"/>
    <d v="2025-06-25T00:00:00"/>
    <x v="4"/>
    <x v="2"/>
    <n v="178"/>
    <n v="32"/>
    <n v="5696"/>
    <x v="1"/>
    <x v="2"/>
    <s v=""/>
    <s v=""/>
  </r>
  <r>
    <x v="936"/>
    <d v="2025-01-13T00:00:00"/>
    <x v="3"/>
    <x v="7"/>
    <n v="191"/>
    <n v="1609"/>
    <n v="307319"/>
    <x v="1"/>
    <x v="2"/>
    <s v=""/>
    <s v=""/>
  </r>
  <r>
    <x v="937"/>
    <d v="2025-11-18T00:00:00"/>
    <x v="2"/>
    <x v="3"/>
    <n v="254"/>
    <n v="610"/>
    <n v="154940"/>
    <x v="0"/>
    <x v="1"/>
    <d v="2025-12-03T00:00:00"/>
    <n v="15"/>
  </r>
  <r>
    <x v="938"/>
    <d v="2025-05-12T00:00:00"/>
    <x v="4"/>
    <x v="9"/>
    <n v="184"/>
    <n v="1492"/>
    <n v="274528"/>
    <x v="2"/>
    <x v="1"/>
    <d v="2025-05-21T00:00:00"/>
    <n v="9"/>
  </r>
  <r>
    <x v="939"/>
    <d v="2025-08-14T00:00:00"/>
    <x v="1"/>
    <x v="4"/>
    <n v="198"/>
    <n v="1178"/>
    <n v="233244"/>
    <x v="0"/>
    <x v="2"/>
    <s v=""/>
    <s v=""/>
  </r>
  <r>
    <x v="940"/>
    <d v="2025-03-27T00:00:00"/>
    <x v="4"/>
    <x v="7"/>
    <n v="208"/>
    <n v="112"/>
    <n v="23296"/>
    <x v="1"/>
    <x v="2"/>
    <s v=""/>
    <s v=""/>
  </r>
  <r>
    <x v="941"/>
    <d v="2025-03-12T00:00:00"/>
    <x v="0"/>
    <x v="8"/>
    <n v="424"/>
    <n v="1689"/>
    <n v="716136"/>
    <x v="2"/>
    <x v="2"/>
    <s v=""/>
    <s v=""/>
  </r>
  <r>
    <x v="942"/>
    <d v="2025-09-20T00:00:00"/>
    <x v="4"/>
    <x v="5"/>
    <n v="137"/>
    <n v="86"/>
    <n v="11782"/>
    <x v="1"/>
    <x v="0"/>
    <s v=""/>
    <s v=""/>
  </r>
  <r>
    <x v="943"/>
    <d v="2025-01-03T00:00:00"/>
    <x v="1"/>
    <x v="7"/>
    <n v="108"/>
    <n v="1124"/>
    <n v="121392"/>
    <x v="1"/>
    <x v="0"/>
    <s v=""/>
    <s v=""/>
  </r>
  <r>
    <x v="944"/>
    <d v="2025-03-24T00:00:00"/>
    <x v="4"/>
    <x v="3"/>
    <n v="132"/>
    <n v="1173"/>
    <n v="154836"/>
    <x v="1"/>
    <x v="0"/>
    <s v=""/>
    <s v=""/>
  </r>
  <r>
    <x v="945"/>
    <d v="2025-04-21T00:00:00"/>
    <x v="4"/>
    <x v="5"/>
    <n v="369"/>
    <n v="1299"/>
    <n v="479331"/>
    <x v="0"/>
    <x v="1"/>
    <d v="2025-04-26T00:00:00"/>
    <n v="5"/>
  </r>
  <r>
    <x v="946"/>
    <d v="2025-06-16T00:00:00"/>
    <x v="2"/>
    <x v="2"/>
    <n v="160"/>
    <n v="651"/>
    <n v="104160"/>
    <x v="1"/>
    <x v="0"/>
    <s v=""/>
    <s v=""/>
  </r>
  <r>
    <x v="947"/>
    <d v="2025-09-27T00:00:00"/>
    <x v="0"/>
    <x v="8"/>
    <n v="117"/>
    <n v="84"/>
    <n v="9828"/>
    <x v="2"/>
    <x v="1"/>
    <d v="2025-10-11T00:00:00"/>
    <n v="14"/>
  </r>
  <r>
    <x v="948"/>
    <d v="2025-04-02T00:00:00"/>
    <x v="4"/>
    <x v="6"/>
    <n v="50"/>
    <n v="1994"/>
    <n v="99700"/>
    <x v="0"/>
    <x v="0"/>
    <s v=""/>
    <s v=""/>
  </r>
  <r>
    <x v="949"/>
    <d v="2025-09-06T00:00:00"/>
    <x v="1"/>
    <x v="1"/>
    <n v="385"/>
    <n v="864"/>
    <n v="332640"/>
    <x v="1"/>
    <x v="0"/>
    <s v=""/>
    <s v=""/>
  </r>
  <r>
    <x v="950"/>
    <d v="2025-12-09T00:00:00"/>
    <x v="1"/>
    <x v="1"/>
    <n v="248"/>
    <n v="786"/>
    <n v="194928"/>
    <x v="2"/>
    <x v="1"/>
    <d v="2025-12-23T00:00:00"/>
    <n v="14"/>
  </r>
  <r>
    <x v="951"/>
    <d v="2025-10-31T00:00:00"/>
    <x v="0"/>
    <x v="4"/>
    <n v="326"/>
    <n v="277"/>
    <n v="90302"/>
    <x v="2"/>
    <x v="0"/>
    <s v=""/>
    <s v=""/>
  </r>
  <r>
    <x v="952"/>
    <d v="2025-11-01T00:00:00"/>
    <x v="1"/>
    <x v="7"/>
    <n v="428"/>
    <n v="1131"/>
    <n v="484068"/>
    <x v="1"/>
    <x v="2"/>
    <s v=""/>
    <s v=""/>
  </r>
  <r>
    <x v="953"/>
    <d v="2025-05-04T00:00:00"/>
    <x v="0"/>
    <x v="7"/>
    <n v="340"/>
    <n v="1872"/>
    <n v="636480"/>
    <x v="2"/>
    <x v="2"/>
    <s v=""/>
    <s v=""/>
  </r>
  <r>
    <x v="954"/>
    <d v="2025-03-08T00:00:00"/>
    <x v="1"/>
    <x v="2"/>
    <n v="363"/>
    <n v="1426"/>
    <n v="517638"/>
    <x v="0"/>
    <x v="2"/>
    <s v=""/>
    <s v=""/>
  </r>
  <r>
    <x v="955"/>
    <d v="2025-08-11T00:00:00"/>
    <x v="0"/>
    <x v="0"/>
    <n v="377"/>
    <n v="1583"/>
    <n v="596791"/>
    <x v="2"/>
    <x v="0"/>
    <s v=""/>
    <s v=""/>
  </r>
  <r>
    <x v="956"/>
    <d v="2025-09-01T00:00:00"/>
    <x v="1"/>
    <x v="8"/>
    <n v="119"/>
    <n v="1284"/>
    <n v="152796"/>
    <x v="1"/>
    <x v="2"/>
    <s v=""/>
    <s v=""/>
  </r>
  <r>
    <x v="957"/>
    <d v="2025-03-19T00:00:00"/>
    <x v="4"/>
    <x v="1"/>
    <n v="474"/>
    <n v="513"/>
    <n v="243162"/>
    <x v="2"/>
    <x v="0"/>
    <s v=""/>
    <s v=""/>
  </r>
  <r>
    <x v="958"/>
    <d v="2025-05-31T00:00:00"/>
    <x v="4"/>
    <x v="4"/>
    <n v="487"/>
    <n v="337"/>
    <n v="164119"/>
    <x v="1"/>
    <x v="1"/>
    <d v="2025-06-09T00:00:00"/>
    <n v="9"/>
  </r>
  <r>
    <x v="959"/>
    <d v="2025-05-01T00:00:00"/>
    <x v="3"/>
    <x v="0"/>
    <n v="488"/>
    <n v="677"/>
    <n v="330376"/>
    <x v="0"/>
    <x v="1"/>
    <d v="2025-05-09T00:00:00"/>
    <n v="8"/>
  </r>
  <r>
    <x v="960"/>
    <d v="2025-02-08T00:00:00"/>
    <x v="2"/>
    <x v="6"/>
    <n v="207"/>
    <n v="1199"/>
    <n v="248193"/>
    <x v="0"/>
    <x v="0"/>
    <s v=""/>
    <s v=""/>
  </r>
  <r>
    <x v="961"/>
    <d v="2025-01-02T00:00:00"/>
    <x v="2"/>
    <x v="2"/>
    <n v="25"/>
    <n v="834"/>
    <n v="20850"/>
    <x v="0"/>
    <x v="1"/>
    <d v="2025-01-09T00:00:00"/>
    <n v="7"/>
  </r>
  <r>
    <x v="962"/>
    <d v="2025-03-15T00:00:00"/>
    <x v="1"/>
    <x v="3"/>
    <n v="234"/>
    <n v="658"/>
    <n v="153972"/>
    <x v="2"/>
    <x v="0"/>
    <s v=""/>
    <s v=""/>
  </r>
  <r>
    <x v="963"/>
    <d v="2025-04-10T00:00:00"/>
    <x v="1"/>
    <x v="2"/>
    <n v="89"/>
    <n v="942"/>
    <n v="83838"/>
    <x v="0"/>
    <x v="0"/>
    <s v=""/>
    <s v=""/>
  </r>
  <r>
    <x v="964"/>
    <d v="2025-02-11T00:00:00"/>
    <x v="3"/>
    <x v="4"/>
    <n v="297"/>
    <n v="1186"/>
    <n v="352242"/>
    <x v="0"/>
    <x v="0"/>
    <s v=""/>
    <s v=""/>
  </r>
  <r>
    <x v="965"/>
    <d v="2025-06-09T00:00:00"/>
    <x v="0"/>
    <x v="3"/>
    <n v="462"/>
    <n v="1661"/>
    <n v="767382"/>
    <x v="2"/>
    <x v="1"/>
    <d v="2025-06-20T00:00:00"/>
    <n v="11"/>
  </r>
  <r>
    <x v="966"/>
    <d v="2025-03-23T00:00:00"/>
    <x v="4"/>
    <x v="6"/>
    <n v="210"/>
    <n v="1177"/>
    <n v="247170"/>
    <x v="2"/>
    <x v="2"/>
    <s v=""/>
    <s v=""/>
  </r>
  <r>
    <x v="967"/>
    <d v="2025-08-07T00:00:00"/>
    <x v="2"/>
    <x v="8"/>
    <n v="158"/>
    <n v="1447"/>
    <n v="228626"/>
    <x v="1"/>
    <x v="2"/>
    <s v=""/>
    <s v=""/>
  </r>
  <r>
    <x v="968"/>
    <d v="2025-06-02T00:00:00"/>
    <x v="2"/>
    <x v="7"/>
    <n v="70"/>
    <n v="168"/>
    <n v="11760"/>
    <x v="2"/>
    <x v="1"/>
    <d v="2025-06-13T00:00:00"/>
    <n v="11"/>
  </r>
  <r>
    <x v="969"/>
    <d v="2025-06-02T00:00:00"/>
    <x v="3"/>
    <x v="5"/>
    <n v="286"/>
    <n v="1640"/>
    <n v="469040"/>
    <x v="2"/>
    <x v="0"/>
    <s v=""/>
    <s v=""/>
  </r>
  <r>
    <x v="970"/>
    <d v="2025-09-15T00:00:00"/>
    <x v="3"/>
    <x v="7"/>
    <n v="88"/>
    <n v="1408"/>
    <n v="123904"/>
    <x v="1"/>
    <x v="1"/>
    <d v="2025-09-25T00:00:00"/>
    <n v="10"/>
  </r>
  <r>
    <x v="971"/>
    <d v="2025-03-11T00:00:00"/>
    <x v="4"/>
    <x v="6"/>
    <n v="388"/>
    <n v="837"/>
    <n v="324756"/>
    <x v="1"/>
    <x v="0"/>
    <s v=""/>
    <s v=""/>
  </r>
  <r>
    <x v="972"/>
    <d v="2026-01-17T00:00:00"/>
    <x v="1"/>
    <x v="4"/>
    <n v="314"/>
    <n v="373"/>
    <n v="117122"/>
    <x v="1"/>
    <x v="1"/>
    <d v="2026-01-26T00:00:00"/>
    <n v="9"/>
  </r>
  <r>
    <x v="973"/>
    <d v="2025-10-26T00:00:00"/>
    <x v="0"/>
    <x v="7"/>
    <n v="266"/>
    <n v="1569"/>
    <n v="417354"/>
    <x v="1"/>
    <x v="1"/>
    <d v="2025-10-31T00:00:00"/>
    <n v="5"/>
  </r>
  <r>
    <x v="974"/>
    <d v="2025-03-24T00:00:00"/>
    <x v="2"/>
    <x v="7"/>
    <n v="138"/>
    <n v="588"/>
    <n v="81144"/>
    <x v="0"/>
    <x v="1"/>
    <d v="2025-03-31T00:00:00"/>
    <n v="7"/>
  </r>
  <r>
    <x v="975"/>
    <d v="2025-12-03T00:00:00"/>
    <x v="4"/>
    <x v="1"/>
    <n v="285"/>
    <n v="1435"/>
    <n v="408975"/>
    <x v="1"/>
    <x v="0"/>
    <s v=""/>
    <s v=""/>
  </r>
  <r>
    <x v="976"/>
    <d v="2025-04-15T00:00:00"/>
    <x v="1"/>
    <x v="8"/>
    <n v="229"/>
    <n v="1575"/>
    <n v="360675"/>
    <x v="2"/>
    <x v="0"/>
    <s v=""/>
    <s v=""/>
  </r>
  <r>
    <x v="977"/>
    <d v="2026-01-23T00:00:00"/>
    <x v="0"/>
    <x v="9"/>
    <n v="286"/>
    <n v="444"/>
    <n v="126984"/>
    <x v="0"/>
    <x v="1"/>
    <d v="2026-02-04T00:00:00"/>
    <n v="12"/>
  </r>
  <r>
    <x v="978"/>
    <d v="2025-01-28T00:00:00"/>
    <x v="0"/>
    <x v="4"/>
    <n v="284"/>
    <n v="209"/>
    <n v="59356"/>
    <x v="2"/>
    <x v="0"/>
    <s v=""/>
    <s v=""/>
  </r>
  <r>
    <x v="979"/>
    <d v="2025-12-05T00:00:00"/>
    <x v="2"/>
    <x v="1"/>
    <n v="277"/>
    <n v="1113"/>
    <n v="308301"/>
    <x v="0"/>
    <x v="0"/>
    <s v=""/>
    <s v=""/>
  </r>
  <r>
    <x v="980"/>
    <d v="2025-05-08T00:00:00"/>
    <x v="1"/>
    <x v="4"/>
    <n v="284"/>
    <n v="1726"/>
    <n v="490184"/>
    <x v="0"/>
    <x v="2"/>
    <s v=""/>
    <s v=""/>
  </r>
  <r>
    <x v="981"/>
    <d v="2025-06-25T00:00:00"/>
    <x v="1"/>
    <x v="0"/>
    <n v="293"/>
    <n v="1757"/>
    <n v="514801"/>
    <x v="1"/>
    <x v="2"/>
    <s v=""/>
    <s v=""/>
  </r>
  <r>
    <x v="982"/>
    <d v="2025-10-15T00:00:00"/>
    <x v="2"/>
    <x v="5"/>
    <n v="5"/>
    <n v="1631"/>
    <n v="8155"/>
    <x v="1"/>
    <x v="0"/>
    <s v=""/>
    <s v=""/>
  </r>
  <r>
    <x v="983"/>
    <d v="2025-11-09T00:00:00"/>
    <x v="0"/>
    <x v="6"/>
    <n v="368"/>
    <n v="139"/>
    <n v="51152"/>
    <x v="2"/>
    <x v="0"/>
    <s v=""/>
    <s v=""/>
  </r>
  <r>
    <x v="984"/>
    <d v="2025-11-06T00:00:00"/>
    <x v="1"/>
    <x v="2"/>
    <n v="48"/>
    <n v="1034"/>
    <n v="49632"/>
    <x v="2"/>
    <x v="1"/>
    <d v="2025-11-12T00:00:00"/>
    <n v="6"/>
  </r>
  <r>
    <x v="985"/>
    <d v="2026-01-02T00:00:00"/>
    <x v="1"/>
    <x v="1"/>
    <n v="242"/>
    <n v="1240"/>
    <n v="300080"/>
    <x v="2"/>
    <x v="2"/>
    <s v=""/>
    <s v=""/>
  </r>
  <r>
    <x v="986"/>
    <d v="2025-10-21T00:00:00"/>
    <x v="0"/>
    <x v="8"/>
    <n v="165"/>
    <n v="648"/>
    <n v="106920"/>
    <x v="2"/>
    <x v="0"/>
    <s v=""/>
    <s v=""/>
  </r>
  <r>
    <x v="987"/>
    <d v="2025-08-02T00:00:00"/>
    <x v="3"/>
    <x v="9"/>
    <n v="107"/>
    <n v="152"/>
    <n v="16264"/>
    <x v="1"/>
    <x v="1"/>
    <d v="2025-08-10T00:00:00"/>
    <n v="8"/>
  </r>
  <r>
    <x v="988"/>
    <d v="2025-01-29T00:00:00"/>
    <x v="3"/>
    <x v="9"/>
    <n v="308"/>
    <n v="779"/>
    <n v="239932"/>
    <x v="2"/>
    <x v="0"/>
    <s v=""/>
    <s v=""/>
  </r>
  <r>
    <x v="989"/>
    <d v="2025-03-13T00:00:00"/>
    <x v="2"/>
    <x v="3"/>
    <n v="290"/>
    <n v="631"/>
    <n v="182990"/>
    <x v="2"/>
    <x v="1"/>
    <d v="2025-03-18T00:00:00"/>
    <n v="5"/>
  </r>
  <r>
    <x v="990"/>
    <d v="2025-03-16T00:00:00"/>
    <x v="2"/>
    <x v="1"/>
    <n v="191"/>
    <n v="1096"/>
    <n v="209336"/>
    <x v="1"/>
    <x v="1"/>
    <d v="2025-03-30T00:00:00"/>
    <n v="14"/>
  </r>
  <r>
    <x v="991"/>
    <d v="2025-08-27T00:00:00"/>
    <x v="2"/>
    <x v="7"/>
    <n v="464"/>
    <n v="1820"/>
    <n v="844480"/>
    <x v="0"/>
    <x v="1"/>
    <d v="2025-09-03T00:00:00"/>
    <n v="7"/>
  </r>
  <r>
    <x v="992"/>
    <d v="2025-09-15T00:00:00"/>
    <x v="1"/>
    <x v="1"/>
    <n v="396"/>
    <n v="1409"/>
    <n v="557964"/>
    <x v="1"/>
    <x v="1"/>
    <d v="2025-09-29T00:00:00"/>
    <n v="14"/>
  </r>
  <r>
    <x v="993"/>
    <d v="2025-06-30T00:00:00"/>
    <x v="4"/>
    <x v="9"/>
    <n v="426"/>
    <n v="1064"/>
    <n v="453264"/>
    <x v="2"/>
    <x v="0"/>
    <s v=""/>
    <s v=""/>
  </r>
  <r>
    <x v="994"/>
    <d v="2025-01-17T00:00:00"/>
    <x v="0"/>
    <x v="8"/>
    <n v="225"/>
    <n v="376"/>
    <n v="84600"/>
    <x v="2"/>
    <x v="2"/>
    <s v=""/>
    <s v=""/>
  </r>
  <r>
    <x v="995"/>
    <d v="2025-04-29T00:00:00"/>
    <x v="4"/>
    <x v="0"/>
    <n v="296"/>
    <n v="263"/>
    <n v="77848"/>
    <x v="2"/>
    <x v="0"/>
    <s v=""/>
    <s v=""/>
  </r>
  <r>
    <x v="996"/>
    <d v="2025-10-11T00:00:00"/>
    <x v="2"/>
    <x v="0"/>
    <n v="16"/>
    <n v="802"/>
    <n v="12832"/>
    <x v="0"/>
    <x v="2"/>
    <s v=""/>
    <s v=""/>
  </r>
  <r>
    <x v="997"/>
    <d v="2025-02-12T00:00:00"/>
    <x v="3"/>
    <x v="5"/>
    <n v="445"/>
    <n v="1795"/>
    <n v="798775"/>
    <x v="2"/>
    <x v="2"/>
    <s v=""/>
    <s v=""/>
  </r>
  <r>
    <x v="998"/>
    <d v="2025-10-05T00:00:00"/>
    <x v="2"/>
    <x v="2"/>
    <n v="394"/>
    <n v="1799"/>
    <n v="708806"/>
    <x v="0"/>
    <x v="1"/>
    <d v="2025-10-16T00:00:00"/>
    <n v="11"/>
  </r>
  <r>
    <x v="999"/>
    <d v="2025-05-08T00:00:00"/>
    <x v="1"/>
    <x v="4"/>
    <n v="86"/>
    <n v="918"/>
    <n v="78948"/>
    <x v="1"/>
    <x v="2"/>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E0E86F-227E-42E2-A02F-B5471A04B60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23:F27" firstHeaderRow="1" firstDataRow="1" firstDataCol="1"/>
  <pivotFields count="12">
    <pivotField showAll="0"/>
    <pivotField numFmtId="14" showAll="0"/>
    <pivotField showAll="0"/>
    <pivotField showAll="0"/>
    <pivotField showAll="0"/>
    <pivotField showAll="0"/>
    <pivotField dataField="1" showAll="0"/>
    <pivotField axis="axisRow" showAll="0">
      <items count="4">
        <item x="1"/>
        <item x="2"/>
        <item x="0"/>
        <item t="default"/>
      </items>
    </pivotField>
    <pivotField showAll="0"/>
    <pivotField showAll="0"/>
    <pivotField showAll="0"/>
    <pivotField dragToRow="0" dragToCol="0" dragToPage="0" showAll="0" defaultSubtotal="0"/>
  </pivotFields>
  <rowFields count="1">
    <field x="7"/>
  </rowFields>
  <rowItems count="4">
    <i>
      <x/>
    </i>
    <i>
      <x v="1"/>
    </i>
    <i>
      <x v="2"/>
    </i>
    <i t="grand">
      <x/>
    </i>
  </rowItems>
  <colItems count="1">
    <i/>
  </colItems>
  <dataFields count="1">
    <dataField name="Sum of Total Cost" fld="6" baseField="0" baseItem="0"/>
  </dataFields>
  <formats count="6">
    <format dxfId="14">
      <pivotArea collapsedLevelsAreSubtotals="1" fieldPosition="0">
        <references count="1">
          <reference field="7" count="0"/>
        </references>
      </pivotArea>
    </format>
    <format dxfId="13">
      <pivotArea dataOnly="0" labelOnly="1" fieldPosition="0">
        <references count="1">
          <reference field="7" count="0"/>
        </references>
      </pivotArea>
    </format>
    <format dxfId="12">
      <pivotArea field="7" type="button" dataOnly="0" labelOnly="1" outline="0" axis="axisRow" fieldPosition="0"/>
    </format>
    <format dxfId="11">
      <pivotArea dataOnly="0" labelOnly="1" outline="0" axis="axisValues" fieldPosition="0"/>
    </format>
    <format dxfId="10">
      <pivotArea grandRow="1" outline="0" collapsedLevelsAreSubtotals="1" fieldPosition="0"/>
    </format>
    <format dxfId="9">
      <pivotArea dataOnly="0" labelOnly="1" grandRow="1" outline="0"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4E0FE4-9C89-497E-840F-30CA47B431B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4" firstHeaderRow="1" firstDataRow="1" firstDataCol="1"/>
  <pivotFields count="12">
    <pivotField dataField="1" showAll="0"/>
    <pivotField numFmtId="14" showAll="0"/>
    <pivotField showAll="0">
      <items count="6">
        <item x="4"/>
        <item x="3"/>
        <item x="2"/>
        <item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dragToRow="0" dragToCol="0" dragToPage="0" showAll="0" defaultSubtotal="0"/>
  </pivotFields>
  <rowFields count="1">
    <field x="8"/>
  </rowFields>
  <rowItems count="4">
    <i>
      <x/>
    </i>
    <i>
      <x v="1"/>
    </i>
    <i>
      <x v="2"/>
    </i>
    <i t="grand">
      <x/>
    </i>
  </rowItems>
  <colItems count="1">
    <i/>
  </colItems>
  <dataFields count="1">
    <dataField name="Count of Order ID" fld="0" subtotal="count" baseField="0" baseItem="0"/>
  </dataFields>
  <formats count="8">
    <format dxfId="22">
      <pivotArea collapsedLevelsAreSubtotals="1" fieldPosition="0">
        <references count="1">
          <reference field="8" count="0"/>
        </references>
      </pivotArea>
    </format>
    <format dxfId="21">
      <pivotArea dataOnly="0" labelOnly="1" fieldPosition="0">
        <references count="1">
          <reference field="8" count="0"/>
        </references>
      </pivotArea>
    </format>
    <format dxfId="20">
      <pivotArea grandRow="1" outline="0" collapsedLevelsAreSubtotals="1" fieldPosition="0"/>
    </format>
    <format dxfId="19">
      <pivotArea dataOnly="0" labelOnly="1" grandRow="1" outline="0" fieldPosition="0"/>
    </format>
    <format dxfId="18">
      <pivotArea field="8" type="button" dataOnly="0" labelOnly="1" outline="0" axis="axisRow" fieldPosition="0"/>
    </format>
    <format dxfId="17">
      <pivotArea dataOnly="0" labelOnly="1" outline="0" axis="axisValues" fieldPosition="0"/>
    </format>
    <format dxfId="16">
      <pivotArea collapsedLevelsAreSubtotals="1" fieldPosition="0">
        <references count="1">
          <reference field="8" count="0"/>
        </references>
      </pivotArea>
    </format>
    <format dxfId="15">
      <pivotArea dataOnly="0" labelOnly="1" fieldPosition="0">
        <references count="1">
          <reference field="8"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CBF915-9ADA-442B-BE34-C3584450D2B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D12" firstHeaderRow="1" firstDataRow="1" firstDataCol="1"/>
  <pivotFields count="12">
    <pivotField showAll="0"/>
    <pivotField numFmtId="14" showAll="0"/>
    <pivotField showAll="0"/>
    <pivotField axis="axisRow" showAll="0">
      <items count="11">
        <item x="1"/>
        <item x="7"/>
        <item x="4"/>
        <item x="6"/>
        <item x="9"/>
        <item x="0"/>
        <item x="8"/>
        <item x="3"/>
        <item x="2"/>
        <item x="5"/>
        <item t="default"/>
      </items>
    </pivotField>
    <pivotField showAll="0"/>
    <pivotField showAll="0"/>
    <pivotField showAll="0"/>
    <pivotField showAll="0"/>
    <pivotField showAll="0"/>
    <pivotField showAll="0"/>
    <pivotField dataField="1" showAll="0"/>
    <pivotField dragToRow="0" dragToCol="0" dragToPage="0" showAll="0" defaultSubtotal="0"/>
  </pivotFields>
  <rowFields count="1">
    <field x="3"/>
  </rowFields>
  <rowItems count="11">
    <i>
      <x/>
    </i>
    <i>
      <x v="1"/>
    </i>
    <i>
      <x v="2"/>
    </i>
    <i>
      <x v="3"/>
    </i>
    <i>
      <x v="4"/>
    </i>
    <i>
      <x v="5"/>
    </i>
    <i>
      <x v="6"/>
    </i>
    <i>
      <x v="7"/>
    </i>
    <i>
      <x v="8"/>
    </i>
    <i>
      <x v="9"/>
    </i>
    <i t="grand">
      <x/>
    </i>
  </rowItems>
  <colItems count="1">
    <i/>
  </colItems>
  <dataFields count="1">
    <dataField name="Average of Lead Time" fld="10" subtotal="average" baseField="0" baseItem="0"/>
  </dataFields>
  <formats count="6">
    <format dxfId="28">
      <pivotArea field="3" type="button" dataOnly="0" labelOnly="1" outline="0" axis="axisRow" fieldPosition="0"/>
    </format>
    <format dxfId="27">
      <pivotArea dataOnly="0" labelOnly="1" outline="0" axis="axisValues" fieldPosition="0"/>
    </format>
    <format dxfId="26">
      <pivotArea collapsedLevelsAreSubtotals="1" fieldPosition="0">
        <references count="1">
          <reference field="3" count="0"/>
        </references>
      </pivotArea>
    </format>
    <format dxfId="25">
      <pivotArea dataOnly="0" labelOnly="1" fieldPosition="0">
        <references count="1">
          <reference field="3" count="0"/>
        </references>
      </pivotArea>
    </format>
    <format dxfId="24">
      <pivotArea grandRow="1" outline="0" collapsedLevelsAreSubtotals="1" fieldPosition="0"/>
    </format>
    <format dxfId="23">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459805-4B11-4970-A25A-F839FF791EB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6:F17" firstHeaderRow="1" firstDataRow="1" firstDataCol="1"/>
  <pivotFields count="12">
    <pivotField showAll="0"/>
    <pivotField numFmtId="14" showAll="0"/>
    <pivotField showAll="0"/>
    <pivotField axis="axisRow" showAll="0">
      <items count="11">
        <item x="1"/>
        <item x="7"/>
        <item x="4"/>
        <item x="6"/>
        <item x="9"/>
        <item x="0"/>
        <item x="8"/>
        <item x="3"/>
        <item x="2"/>
        <item x="5"/>
        <item t="default"/>
      </items>
    </pivotField>
    <pivotField showAll="0"/>
    <pivotField showAll="0"/>
    <pivotField showAll="0"/>
    <pivotField showAll="0"/>
    <pivotField showAll="0"/>
    <pivotField showAll="0"/>
    <pivotField dataField="1" showAll="0"/>
    <pivotField dragToRow="0" dragToCol="0" dragToPage="0" showAll="0" defaultSubtotal="0"/>
  </pivotFields>
  <rowFields count="1">
    <field x="3"/>
  </rowFields>
  <rowItems count="11">
    <i>
      <x/>
    </i>
    <i>
      <x v="1"/>
    </i>
    <i>
      <x v="2"/>
    </i>
    <i>
      <x v="3"/>
    </i>
    <i>
      <x v="4"/>
    </i>
    <i>
      <x v="5"/>
    </i>
    <i>
      <x v="6"/>
    </i>
    <i>
      <x v="7"/>
    </i>
    <i>
      <x v="8"/>
    </i>
    <i>
      <x v="9"/>
    </i>
    <i t="grand">
      <x/>
    </i>
  </rowItems>
  <colItems count="1">
    <i/>
  </colItems>
  <dataFields count="1">
    <dataField name="Average of Lead Time" fld="10" subtotal="average" baseField="0" baseItem="0"/>
  </dataFields>
  <formats count="7">
    <format dxfId="35">
      <pivotArea field="3" type="button" dataOnly="0" labelOnly="1" outline="0" axis="axisRow" fieldPosition="0"/>
    </format>
    <format dxfId="34">
      <pivotArea field="3" type="button" dataOnly="0" labelOnly="1" outline="0" axis="axisRow" fieldPosition="0"/>
    </format>
    <format dxfId="33">
      <pivotArea dataOnly="0" labelOnly="1" outline="0" axis="axisValues" fieldPosition="0"/>
    </format>
    <format dxfId="32">
      <pivotArea collapsedLevelsAreSubtotals="1" fieldPosition="0">
        <references count="1">
          <reference field="3" count="0"/>
        </references>
      </pivotArea>
    </format>
    <format dxfId="31">
      <pivotArea dataOnly="0" labelOnly="1" fieldPosition="0">
        <references count="1">
          <reference field="3" count="0"/>
        </references>
      </pivotArea>
    </format>
    <format dxfId="30">
      <pivotArea grandRow="1" outline="0" collapsedLevelsAreSubtotals="1" fieldPosition="0"/>
    </format>
    <format dxfId="29">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17ACF9-364E-41EB-9093-5357598E8FC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D19" firstHeaderRow="0" firstDataRow="1" firstDataCol="1"/>
  <pivotFields count="12">
    <pivotField showAll="0"/>
    <pivotField numFmtId="14" showAll="0"/>
    <pivotField axis="axisRow" showAll="0">
      <items count="6">
        <item x="4"/>
        <item x="3"/>
        <item x="2"/>
        <item x="0"/>
        <item x="1"/>
        <item t="default"/>
      </items>
    </pivotField>
    <pivotField showAll="0"/>
    <pivotField dataField="1" showAll="0"/>
    <pivotField showAll="0"/>
    <pivotField dataField="1" showAll="0"/>
    <pivotField showAll="0"/>
    <pivotField showAll="0"/>
    <pivotField showAll="0"/>
    <pivotField showAll="0"/>
    <pivotField dataField="1" dragToRow="0" dragToCol="0" dragToPage="0" showAll="0" defaultSubtotal="0"/>
  </pivotFields>
  <rowFields count="1">
    <field x="2"/>
  </rowFields>
  <rowItems count="6">
    <i>
      <x/>
    </i>
    <i>
      <x v="1"/>
    </i>
    <i>
      <x v="2"/>
    </i>
    <i>
      <x v="3"/>
    </i>
    <i>
      <x v="4"/>
    </i>
    <i t="grand">
      <x/>
    </i>
  </rowItems>
  <colFields count="1">
    <field x="-2"/>
  </colFields>
  <colItems count="3">
    <i>
      <x/>
    </i>
    <i i="1">
      <x v="1"/>
    </i>
    <i i="2">
      <x v="2"/>
    </i>
  </colItems>
  <dataFields count="3">
    <dataField name="Sum of Total Cost" fld="6" baseField="0" baseItem="0"/>
    <dataField name="Sum of Quantity" fld="4" baseField="0" baseItem="0"/>
    <dataField name="Sum of Average_Unit_Cost" fld="11" baseField="0" baseItem="0"/>
  </dataFields>
  <formats count="10">
    <format dxfId="45">
      <pivotArea field="2" type="button" dataOnly="0" labelOnly="1" outline="0" axis="axisRow" fieldPosition="0"/>
    </format>
    <format dxfId="44">
      <pivotArea dataOnly="0" labelOnly="1" outline="0" fieldPosition="0">
        <references count="1">
          <reference field="4294967294" count="1">
            <x v="0"/>
          </reference>
        </references>
      </pivotArea>
    </format>
    <format dxfId="43">
      <pivotArea dataOnly="0" labelOnly="1" outline="0" fieldPosition="0">
        <references count="1">
          <reference field="4294967294" count="1">
            <x v="1"/>
          </reference>
        </references>
      </pivotArea>
    </format>
    <format dxfId="42">
      <pivotArea dataOnly="0" labelOnly="1" outline="0" fieldPosition="0">
        <references count="1">
          <reference field="4294967294" count="1">
            <x v="2"/>
          </reference>
        </references>
      </pivotArea>
    </format>
    <format dxfId="41">
      <pivotArea collapsedLevelsAreSubtotals="1" fieldPosition="0">
        <references count="2">
          <reference field="4294967294" count="2" selected="0">
            <x v="1"/>
            <x v="2"/>
          </reference>
          <reference field="2" count="0"/>
        </references>
      </pivotArea>
    </format>
    <format dxfId="40">
      <pivotArea collapsedLevelsAreSubtotals="1" fieldPosition="0">
        <references count="2">
          <reference field="4294967294" count="1" selected="0">
            <x v="0"/>
          </reference>
          <reference field="2" count="0"/>
        </references>
      </pivotArea>
    </format>
    <format dxfId="39">
      <pivotArea dataOnly="0" labelOnly="1" fieldPosition="0">
        <references count="1">
          <reference field="2" count="0"/>
        </references>
      </pivotArea>
    </format>
    <format dxfId="38">
      <pivotArea field="2" grandRow="1" outline="0" collapsedLevelsAreSubtotals="1" axis="axisRow" fieldPosition="0">
        <references count="1">
          <reference field="4294967294" count="2" selected="0">
            <x v="1"/>
            <x v="2"/>
          </reference>
        </references>
      </pivotArea>
    </format>
    <format dxfId="37">
      <pivotArea field="2" grandRow="1" outline="0" collapsedLevelsAreSubtotals="1" axis="axisRow" fieldPosition="0">
        <references count="1">
          <reference field="4294967294" count="1" selected="0">
            <x v="0"/>
          </reference>
        </references>
      </pivotArea>
    </format>
    <format dxfId="36">
      <pivotArea dataOnly="0" labelOnly="1" grandRow="1" outline="0" fieldPosition="0"/>
    </format>
  </formats>
  <chartFormats count="6">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211025-595B-462B-A623-974208EDB5D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8:F22" firstHeaderRow="1" firstDataRow="1" firstDataCol="1"/>
  <pivotFields count="12">
    <pivotField dataField="1" showAll="0"/>
    <pivotField numFmtId="14"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ragToRow="0" dragToCol="0" dragToPage="0" showAll="0" defaultSubtotal="0"/>
  </pivotFields>
  <rowFields count="1">
    <field x="8"/>
  </rowFields>
  <rowItems count="4">
    <i>
      <x/>
    </i>
    <i>
      <x v="1"/>
    </i>
    <i>
      <x v="2"/>
    </i>
    <i t="grand">
      <x/>
    </i>
  </rowItems>
  <colItems count="1">
    <i/>
  </colItems>
  <dataFields count="1">
    <dataField name="Count of Order ID" fld="0" subtotal="count" baseField="0" baseItem="0"/>
  </dataFields>
  <formats count="7">
    <format dxfId="52">
      <pivotArea field="8" type="button" dataOnly="0" labelOnly="1" outline="0" axis="axisRow" fieldPosition="0"/>
    </format>
    <format dxfId="51">
      <pivotArea field="8" type="button" dataOnly="0" labelOnly="1" outline="0" axis="axisRow" fieldPosition="0"/>
    </format>
    <format dxfId="50">
      <pivotArea dataOnly="0" labelOnly="1" outline="0" axis="axisValues" fieldPosition="0"/>
    </format>
    <format dxfId="49">
      <pivotArea collapsedLevelsAreSubtotals="1" fieldPosition="0">
        <references count="1">
          <reference field="8" count="0"/>
        </references>
      </pivotArea>
    </format>
    <format dxfId="48">
      <pivotArea dataOnly="0" labelOnly="1" fieldPosition="0">
        <references count="1">
          <reference field="8" count="0"/>
        </references>
      </pivotArea>
    </format>
    <format dxfId="47">
      <pivotArea grandRow="1" outline="0" collapsedLevelsAreSubtotals="1" fieldPosition="0"/>
    </format>
    <format dxfId="46">
      <pivotArea dataOnly="0" labelOnly="1" grandRow="1" outline="0"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 chart="2" format="7">
      <pivotArea type="data" outline="0" fieldPosition="0">
        <references count="2">
          <reference field="4294967294" count="1" selected="0">
            <x v="0"/>
          </reference>
          <reference field="8" count="1" selected="0">
            <x v="1"/>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8BA036-4C95-4DE1-ADDE-61231BFF5D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F5" firstHeaderRow="1" firstDataRow="1" firstDataCol="1"/>
  <pivotFields count="12">
    <pivotField dataField="1" showAll="0"/>
    <pivotField numFmtId="14"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ragToRow="0" dragToCol="0" dragToPage="0" showAll="0" defaultSubtotal="0"/>
  </pivotFields>
  <rowFields count="1">
    <field x="8"/>
  </rowFields>
  <rowItems count="4">
    <i>
      <x/>
    </i>
    <i>
      <x v="1"/>
    </i>
    <i>
      <x v="2"/>
    </i>
    <i t="grand">
      <x/>
    </i>
  </rowItems>
  <colItems count="1">
    <i/>
  </colItems>
  <dataFields count="1">
    <dataField name="Count of Order ID" fld="0" subtotal="count" baseField="0" baseItem="0"/>
  </dataFields>
  <formats count="8">
    <format dxfId="60">
      <pivotArea field="8" type="button" dataOnly="0" labelOnly="1" outline="0" axis="axisRow" fieldPosition="0"/>
    </format>
    <format dxfId="59">
      <pivotArea dataOnly="0" labelOnly="1" outline="0" axis="axisValues" fieldPosition="0"/>
    </format>
    <format dxfId="58">
      <pivotArea collapsedLevelsAreSubtotals="1" fieldPosition="0">
        <references count="1">
          <reference field="8" count="0"/>
        </references>
      </pivotArea>
    </format>
    <format dxfId="57">
      <pivotArea dataOnly="0" labelOnly="1" fieldPosition="0">
        <references count="1">
          <reference field="8" count="0"/>
        </references>
      </pivotArea>
    </format>
    <format dxfId="56">
      <pivotArea grandRow="1" outline="0" collapsedLevelsAreSubtotals="1" fieldPosition="0"/>
    </format>
    <format dxfId="55">
      <pivotArea dataOnly="0" labelOnly="1" grandRow="1" outline="0" fieldPosition="0"/>
    </format>
    <format dxfId="54">
      <pivotArea grandRow="1" outline="0" collapsedLevelsAreSubtotals="1" fieldPosition="0"/>
    </format>
    <format dxfId="53">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4F7BD4-EFA5-4D0F-86B5-B2DC8D19EB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7" firstHeaderRow="1" firstDataRow="1" firstDataCol="1"/>
  <pivotFields count="12">
    <pivotField showAll="0"/>
    <pivotField numFmtId="14" showAll="0"/>
    <pivotField axis="axisRow" showAll="0">
      <items count="6">
        <item x="4"/>
        <item x="3"/>
        <item x="2"/>
        <item x="0"/>
        <item x="1"/>
        <item t="default"/>
      </items>
    </pivotField>
    <pivotField showAll="0"/>
    <pivotField showAll="0"/>
    <pivotField showAll="0"/>
    <pivotField dataField="1" showAll="0"/>
    <pivotField showAll="0">
      <items count="4">
        <item x="1"/>
        <item x="2"/>
        <item x="0"/>
        <item t="default"/>
      </items>
    </pivotField>
    <pivotField showAll="0"/>
    <pivotField showAll="0"/>
    <pivotField showAll="0"/>
    <pivotField dragToRow="0" dragToCol="0" dragToPage="0" showAll="0" defaultSubtotal="0"/>
  </pivotFields>
  <rowFields count="1">
    <field x="2"/>
  </rowFields>
  <rowItems count="6">
    <i>
      <x/>
    </i>
    <i>
      <x v="1"/>
    </i>
    <i>
      <x v="2"/>
    </i>
    <i>
      <x v="3"/>
    </i>
    <i>
      <x v="4"/>
    </i>
    <i t="grand">
      <x/>
    </i>
  </rowItems>
  <colItems count="1">
    <i/>
  </colItems>
  <dataFields count="1">
    <dataField name="Sum of Total Cost" fld="6" baseField="0" baseItem="0"/>
  </dataFields>
  <formats count="6">
    <format dxfId="66">
      <pivotArea field="2" type="button" dataOnly="0" labelOnly="1" outline="0" axis="axisRow" fieldPosition="0"/>
    </format>
    <format dxfId="65">
      <pivotArea dataOnly="0" labelOnly="1" outline="0" axis="axisValues" fieldPosition="0"/>
    </format>
    <format dxfId="64">
      <pivotArea collapsedLevelsAreSubtotals="1" fieldPosition="0">
        <references count="1">
          <reference field="2" count="0"/>
        </references>
      </pivotArea>
    </format>
    <format dxfId="63">
      <pivotArea dataOnly="0" labelOnly="1" fieldPosition="0">
        <references count="1">
          <reference field="2" count="0"/>
        </references>
      </pivotArea>
    </format>
    <format dxfId="62">
      <pivotArea grandRow="1" outline="0" collapsedLevelsAreSubtotals="1" fieldPosition="0"/>
    </format>
    <format dxfId="61">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0274F5F4-D84C-4780-8DC0-EB156489F2C9}" sourceName="Supplier Name">
  <pivotTables>
    <pivotTable tabId="7" name="PivotTable4"/>
  </pivotTables>
  <data>
    <tabular pivotCacheId="2073391954">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Method" xr10:uid="{FC49AABF-0CFB-4C03-9F85-8EB5B13F0C01}" sourceName="Shipping Method">
  <pivotTables>
    <pivotTable tabId="7" name="PivotTable4"/>
  </pivotTables>
  <data>
    <tabular pivotCacheId="207339195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1" xr10:uid="{D027C0D2-7F40-4293-B0F2-41831CD80D29}" sourceName="Supplier Name">
  <pivotTables>
    <pivotTable tabId="7" name="PivotTable12"/>
  </pivotTables>
  <data>
    <tabular pivotCacheId="2073391954">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Name" xr10:uid="{7206DB6F-6426-4D4D-BE25-2402FC7F1EEE}" cache="Slicer_Supplier_Name" caption="Supplier Name" startItem="3" style="Slicer Style 2" rowHeight="257175"/>
  <slicer name="Shipping Method" xr10:uid="{FAAD770B-B846-4C58-A98C-66E9D283FEA9}" cache="Slicer_Shipping_Method" caption="Shipping Method" style="Slicer Style 2" rowHeight="257175"/>
  <slicer name="Supplier Name 1" xr10:uid="{E02C6B9A-6FD9-4F3C-9DF6-78ECF5EEA31C}" cache="Slicer_Supplier_Name1" caption="Supplier Name" style="Slicer Style 7"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415181-19ED-47F3-93BC-29633E5685E1}" name="Table1" displayName="Table1" ref="A1:K1001" totalsRowShown="0" headerRowDxfId="8">
  <autoFilter ref="A1:K1001" xr:uid="{8D415181-19ED-47F3-93BC-29633E5685E1}"/>
  <tableColumns count="11">
    <tableColumn id="1" xr3:uid="{19431EAB-EEDC-4568-843F-8CE096ED50C0}" name="Order ID"/>
    <tableColumn id="2" xr3:uid="{834CA285-82FA-4527-A7BC-A5455576DFAE}" name="Order Data" dataDxfId="7"/>
    <tableColumn id="3" xr3:uid="{E45B9CFE-2DB4-411C-AABA-67DAA968ED60}" name="Supplier Name"/>
    <tableColumn id="4" xr3:uid="{C89DEA43-C1A3-47E6-ADE5-DAC22C1ECA1B}" name="Product Category"/>
    <tableColumn id="5" xr3:uid="{4C239198-F067-41FF-9999-B5681CB34AA4}" name="Quantity" dataDxfId="6"/>
    <tableColumn id="6" xr3:uid="{A15284B9-5E59-415B-9C5A-B70B479318B0}" name="Unit Cost" dataDxfId="5"/>
    <tableColumn id="7" xr3:uid="{7EB82B34-B950-490F-8B5F-6EBA297212B1}" name="Total Cost" dataDxfId="4"/>
    <tableColumn id="8" xr3:uid="{B2685952-F603-416A-8C92-E4D339E4693E}" name="Shipping Method" dataDxfId="3"/>
    <tableColumn id="9" xr3:uid="{4BE5E66A-0C06-464D-BB4D-355BE6430852}" name="Shipping Status" dataDxfId="2"/>
    <tableColumn id="10" xr3:uid="{9A1EEC52-AAF0-47C6-B7FC-6DE8F9ED9C35}" name="Delivery Date" dataDxfId="1"/>
    <tableColumn id="11" xr3:uid="{6BED8CE0-AEE7-431B-ACE3-7053F822A03F}" name="Lead Time" dataDxfId="0">
      <calculatedColumnFormula>IF(J2="", "", J2-B2)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9A7BB-8614-432E-9E27-D2284ECD6D78}">
  <dimension ref="A1:AG1"/>
  <sheetViews>
    <sheetView showGridLines="0" tabSelected="1" zoomScale="55" zoomScaleNormal="55" workbookViewId="0">
      <selection activeCell="AI7" sqref="AI7"/>
    </sheetView>
  </sheetViews>
  <sheetFormatPr defaultRowHeight="15" x14ac:dyDescent="0.25"/>
  <sheetData>
    <row r="1" spans="1:33" ht="55.5" x14ac:dyDescent="0.25">
      <c r="A1" s="54" t="s">
        <v>1040</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row>
  </sheetData>
  <mergeCells count="1">
    <mergeCell ref="A1:AG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365D-9F2D-4BAE-9FD4-4E69DDD2ECF9}">
  <dimension ref="A1:F27"/>
  <sheetViews>
    <sheetView showGridLines="0" zoomScale="115" zoomScaleNormal="115" workbookViewId="0">
      <selection activeCell="D33" sqref="D33"/>
    </sheetView>
  </sheetViews>
  <sheetFormatPr defaultRowHeight="15" x14ac:dyDescent="0.25"/>
  <cols>
    <col min="1" max="1" width="17.85546875" bestFit="1" customWidth="1"/>
    <col min="2" max="2" width="22" bestFit="1" customWidth="1"/>
    <col min="3" max="3" width="22.5703125" bestFit="1" customWidth="1"/>
    <col min="4" max="4" width="32.85546875" bestFit="1" customWidth="1"/>
    <col min="5" max="5" width="22.5703125" bestFit="1" customWidth="1"/>
    <col min="6" max="6" width="26.85546875" customWidth="1"/>
  </cols>
  <sheetData>
    <row r="1" spans="1:6" x14ac:dyDescent="0.25">
      <c r="A1" s="4" t="s">
        <v>1033</v>
      </c>
      <c r="B1" s="4" t="s">
        <v>1035</v>
      </c>
      <c r="C1" s="5" t="s">
        <v>1033</v>
      </c>
      <c r="D1" s="5" t="s">
        <v>1036</v>
      </c>
      <c r="E1" s="6" t="s">
        <v>1033</v>
      </c>
      <c r="F1" s="6" t="s">
        <v>1037</v>
      </c>
    </row>
    <row r="2" spans="1:6" x14ac:dyDescent="0.25">
      <c r="A2" s="11" t="s">
        <v>1013</v>
      </c>
      <c r="B2" s="12">
        <v>43219122</v>
      </c>
      <c r="C2" s="13" t="s">
        <v>1017</v>
      </c>
      <c r="D2" s="14">
        <v>10.28125</v>
      </c>
      <c r="E2" s="15" t="s">
        <v>1026</v>
      </c>
      <c r="F2" s="16">
        <v>338</v>
      </c>
    </row>
    <row r="3" spans="1:6" x14ac:dyDescent="0.25">
      <c r="A3" s="11" t="s">
        <v>1012</v>
      </c>
      <c r="B3" s="12">
        <v>42926129</v>
      </c>
      <c r="C3" s="13" t="s">
        <v>1023</v>
      </c>
      <c r="D3" s="14">
        <v>9.6857142857142851</v>
      </c>
      <c r="E3" s="15" t="s">
        <v>1028</v>
      </c>
      <c r="F3" s="16">
        <v>334</v>
      </c>
    </row>
    <row r="4" spans="1:6" x14ac:dyDescent="0.25">
      <c r="A4" s="11" t="s">
        <v>1010</v>
      </c>
      <c r="B4" s="12">
        <v>56277472</v>
      </c>
      <c r="C4" s="13" t="s">
        <v>1022</v>
      </c>
      <c r="D4" s="14">
        <v>10.258064516129032</v>
      </c>
      <c r="E4" s="15" t="s">
        <v>1029</v>
      </c>
      <c r="F4" s="16">
        <v>328</v>
      </c>
    </row>
    <row r="5" spans="1:6" x14ac:dyDescent="0.25">
      <c r="A5" s="11" t="s">
        <v>1011</v>
      </c>
      <c r="B5" s="12">
        <v>49615848</v>
      </c>
      <c r="C5" s="13" t="s">
        <v>1019</v>
      </c>
      <c r="D5" s="14">
        <v>10.423076923076923</v>
      </c>
      <c r="E5" s="28" t="s">
        <v>1034</v>
      </c>
      <c r="F5" s="29">
        <v>1000</v>
      </c>
    </row>
    <row r="6" spans="1:6" x14ac:dyDescent="0.25">
      <c r="A6" s="11" t="s">
        <v>1014</v>
      </c>
      <c r="B6" s="12">
        <v>56004090</v>
      </c>
      <c r="C6" s="13" t="s">
        <v>1015</v>
      </c>
      <c r="D6" s="14">
        <v>10.405405405405405</v>
      </c>
      <c r="E6" s="9" t="s">
        <v>1033</v>
      </c>
      <c r="F6" s="9" t="s">
        <v>1036</v>
      </c>
    </row>
    <row r="7" spans="1:6" x14ac:dyDescent="0.25">
      <c r="A7" s="24" t="s">
        <v>1034</v>
      </c>
      <c r="B7" s="25">
        <v>248042661</v>
      </c>
      <c r="C7" s="13" t="s">
        <v>1024</v>
      </c>
      <c r="D7" s="14">
        <v>9.6341463414634152</v>
      </c>
      <c r="E7" s="17" t="s">
        <v>1017</v>
      </c>
      <c r="F7" s="18">
        <v>10.28125</v>
      </c>
    </row>
    <row r="8" spans="1:6" x14ac:dyDescent="0.25">
      <c r="C8" s="13" t="s">
        <v>1016</v>
      </c>
      <c r="D8" s="14">
        <v>10.555555555555555</v>
      </c>
      <c r="E8" s="17" t="s">
        <v>1023</v>
      </c>
      <c r="F8" s="18">
        <v>9.6857142857142851</v>
      </c>
    </row>
    <row r="9" spans="1:6" x14ac:dyDescent="0.25">
      <c r="C9" s="13" t="s">
        <v>1018</v>
      </c>
      <c r="D9" s="14">
        <v>10.181818181818182</v>
      </c>
      <c r="E9" s="17" t="s">
        <v>1022</v>
      </c>
      <c r="F9" s="18">
        <v>10.258064516129032</v>
      </c>
    </row>
    <row r="10" spans="1:6" x14ac:dyDescent="0.25">
      <c r="C10" s="13" t="s">
        <v>1020</v>
      </c>
      <c r="D10" s="14">
        <v>9.3714285714285719</v>
      </c>
      <c r="E10" s="17" t="s">
        <v>1019</v>
      </c>
      <c r="F10" s="18">
        <v>10.423076923076923</v>
      </c>
    </row>
    <row r="11" spans="1:6" x14ac:dyDescent="0.25">
      <c r="C11" s="13" t="s">
        <v>1021</v>
      </c>
      <c r="D11" s="14">
        <v>10.035714285714286</v>
      </c>
      <c r="E11" s="17" t="s">
        <v>1015</v>
      </c>
      <c r="F11" s="18">
        <v>10.405405405405405</v>
      </c>
    </row>
    <row r="12" spans="1:6" x14ac:dyDescent="0.25">
      <c r="C12" s="26" t="s">
        <v>1034</v>
      </c>
      <c r="D12" s="27">
        <v>10.065868263473053</v>
      </c>
      <c r="E12" s="17" t="s">
        <v>1024</v>
      </c>
      <c r="F12" s="18">
        <v>9.6341463414634152</v>
      </c>
    </row>
    <row r="13" spans="1:6" x14ac:dyDescent="0.25">
      <c r="A13" s="7" t="s">
        <v>1033</v>
      </c>
      <c r="B13" s="7" t="s">
        <v>1035</v>
      </c>
      <c r="C13" s="8" t="s">
        <v>1038</v>
      </c>
      <c r="D13" s="8" t="s">
        <v>1039</v>
      </c>
      <c r="E13" s="17" t="s">
        <v>1016</v>
      </c>
      <c r="F13" s="18">
        <v>10.555555555555555</v>
      </c>
    </row>
    <row r="14" spans="1:6" x14ac:dyDescent="0.25">
      <c r="A14" s="22" t="s">
        <v>1013</v>
      </c>
      <c r="B14" s="23">
        <v>43219122</v>
      </c>
      <c r="C14" s="21">
        <v>47285</v>
      </c>
      <c r="D14" s="21">
        <v>914.01336576081212</v>
      </c>
      <c r="E14" s="17" t="s">
        <v>1018</v>
      </c>
      <c r="F14" s="18">
        <v>10.181818181818182</v>
      </c>
    </row>
    <row r="15" spans="1:6" x14ac:dyDescent="0.25">
      <c r="A15" s="22" t="s">
        <v>1012</v>
      </c>
      <c r="B15" s="23">
        <v>42926129</v>
      </c>
      <c r="C15" s="21">
        <v>42708</v>
      </c>
      <c r="D15" s="21">
        <v>1005.1074505947364</v>
      </c>
      <c r="E15" s="17" t="s">
        <v>1020</v>
      </c>
      <c r="F15" s="18">
        <v>9.3714285714285719</v>
      </c>
    </row>
    <row r="16" spans="1:6" x14ac:dyDescent="0.25">
      <c r="A16" s="22" t="s">
        <v>1010</v>
      </c>
      <c r="B16" s="23">
        <v>56277472</v>
      </c>
      <c r="C16" s="21">
        <v>53938</v>
      </c>
      <c r="D16" s="21">
        <v>1043.3733545923096</v>
      </c>
      <c r="E16" s="17" t="s">
        <v>1021</v>
      </c>
      <c r="F16" s="18">
        <v>10.035714285714286</v>
      </c>
    </row>
    <row r="17" spans="1:6" x14ac:dyDescent="0.25">
      <c r="A17" s="22" t="s">
        <v>1011</v>
      </c>
      <c r="B17" s="23">
        <v>49615848</v>
      </c>
      <c r="C17" s="21">
        <v>53081</v>
      </c>
      <c r="D17" s="21">
        <v>934.719541832294</v>
      </c>
      <c r="E17" s="30" t="s">
        <v>1034</v>
      </c>
      <c r="F17" s="31">
        <v>10.065868263473053</v>
      </c>
    </row>
    <row r="18" spans="1:6" x14ac:dyDescent="0.25">
      <c r="A18" s="22" t="s">
        <v>1014</v>
      </c>
      <c r="B18" s="23">
        <v>56004090</v>
      </c>
      <c r="C18" s="21">
        <v>53060</v>
      </c>
      <c r="D18" s="21">
        <v>1055.4860535243122</v>
      </c>
      <c r="E18" s="10" t="s">
        <v>1033</v>
      </c>
      <c r="F18" s="10" t="s">
        <v>1037</v>
      </c>
    </row>
    <row r="19" spans="1:6" x14ac:dyDescent="0.25">
      <c r="A19" s="35" t="s">
        <v>1034</v>
      </c>
      <c r="B19" s="36">
        <v>248042661</v>
      </c>
      <c r="C19" s="34">
        <v>250072</v>
      </c>
      <c r="D19" s="34">
        <v>991.88498112543584</v>
      </c>
      <c r="E19" s="19" t="s">
        <v>1026</v>
      </c>
      <c r="F19" s="20">
        <v>338</v>
      </c>
    </row>
    <row r="20" spans="1:6" x14ac:dyDescent="0.25">
      <c r="A20" s="39" t="s">
        <v>1033</v>
      </c>
      <c r="B20" s="39" t="s">
        <v>1037</v>
      </c>
      <c r="E20" s="19" t="s">
        <v>1028</v>
      </c>
      <c r="F20" s="20">
        <v>334</v>
      </c>
    </row>
    <row r="21" spans="1:6" x14ac:dyDescent="0.25">
      <c r="A21" s="40" t="s">
        <v>1026</v>
      </c>
      <c r="B21" s="41">
        <v>338</v>
      </c>
      <c r="E21" s="19" t="s">
        <v>1029</v>
      </c>
      <c r="F21" s="20">
        <v>328</v>
      </c>
    </row>
    <row r="22" spans="1:6" x14ac:dyDescent="0.25">
      <c r="A22" s="40" t="s">
        <v>1028</v>
      </c>
      <c r="B22" s="41">
        <v>334</v>
      </c>
      <c r="E22" s="32" t="s">
        <v>1034</v>
      </c>
      <c r="F22" s="33">
        <v>1000</v>
      </c>
    </row>
    <row r="23" spans="1:6" x14ac:dyDescent="0.25">
      <c r="A23" s="40" t="s">
        <v>1029</v>
      </c>
      <c r="B23" s="41">
        <v>328</v>
      </c>
      <c r="E23" s="44" t="s">
        <v>1033</v>
      </c>
      <c r="F23" s="44" t="s">
        <v>1035</v>
      </c>
    </row>
    <row r="24" spans="1:6" x14ac:dyDescent="0.25">
      <c r="A24" s="37" t="s">
        <v>1034</v>
      </c>
      <c r="B24" s="38">
        <v>1000</v>
      </c>
      <c r="E24" s="42" t="s">
        <v>1027</v>
      </c>
      <c r="F24" s="43">
        <v>83806590</v>
      </c>
    </row>
    <row r="25" spans="1:6" x14ac:dyDescent="0.25">
      <c r="E25" s="42" t="s">
        <v>1030</v>
      </c>
      <c r="F25" s="43">
        <v>84439824</v>
      </c>
    </row>
    <row r="26" spans="1:6" x14ac:dyDescent="0.25">
      <c r="E26" s="42" t="s">
        <v>1025</v>
      </c>
      <c r="F26" s="43">
        <v>79796247</v>
      </c>
    </row>
    <row r="27" spans="1:6" x14ac:dyDescent="0.25">
      <c r="E27" s="45" t="s">
        <v>1034</v>
      </c>
      <c r="F27" s="21">
        <v>248042661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B6485-4AE9-4712-A5AE-D221B0B88172}">
  <dimension ref="A1:K1001"/>
  <sheetViews>
    <sheetView zoomScale="115" zoomScaleNormal="115" workbookViewId="0">
      <selection activeCell="E15" sqref="E15"/>
    </sheetView>
  </sheetViews>
  <sheetFormatPr defaultRowHeight="15" x14ac:dyDescent="0.25"/>
  <cols>
    <col min="1" max="1" width="10.85546875" bestFit="1" customWidth="1"/>
    <col min="2" max="2" width="13" style="48" bestFit="1" customWidth="1"/>
    <col min="3" max="3" width="16.7109375" bestFit="1" customWidth="1"/>
    <col min="4" max="4" width="21.42578125" bestFit="1" customWidth="1"/>
    <col min="5" max="5" width="11" style="47" bestFit="1" customWidth="1"/>
    <col min="6" max="6" width="11.7109375" style="47" bestFit="1" customWidth="1"/>
    <col min="7" max="7" width="12.42578125" style="47" bestFit="1" customWidth="1"/>
    <col min="8" max="8" width="18.5703125" style="47" bestFit="1" customWidth="1"/>
    <col min="9" max="9" width="17.42578125" style="50" bestFit="1" customWidth="1"/>
    <col min="10" max="10" width="15.7109375" style="48" bestFit="1" customWidth="1"/>
    <col min="11" max="11" width="12.42578125" style="47" bestFit="1" customWidth="1"/>
  </cols>
  <sheetData>
    <row r="1" spans="1:11" x14ac:dyDescent="0.25">
      <c r="A1" s="1" t="s">
        <v>0</v>
      </c>
      <c r="B1" s="46" t="s">
        <v>1</v>
      </c>
      <c r="C1" s="1" t="s">
        <v>2</v>
      </c>
      <c r="D1" s="1" t="s">
        <v>3</v>
      </c>
      <c r="E1" s="51" t="s">
        <v>4</v>
      </c>
      <c r="F1" s="51" t="s">
        <v>5</v>
      </c>
      <c r="G1" s="51" t="s">
        <v>6</v>
      </c>
      <c r="H1" s="51" t="s">
        <v>7</v>
      </c>
      <c r="I1" s="49" t="s">
        <v>8</v>
      </c>
      <c r="J1" s="46" t="s">
        <v>9</v>
      </c>
      <c r="K1" s="46" t="s">
        <v>1032</v>
      </c>
    </row>
    <row r="2" spans="1:11" x14ac:dyDescent="0.25">
      <c r="A2" t="s">
        <v>10</v>
      </c>
      <c r="B2" s="48">
        <v>45808</v>
      </c>
      <c r="C2" t="s">
        <v>1011</v>
      </c>
      <c r="D2" t="s">
        <v>1024</v>
      </c>
      <c r="E2" s="47">
        <v>216</v>
      </c>
      <c r="F2" s="47">
        <v>964</v>
      </c>
      <c r="G2" s="47">
        <v>208224</v>
      </c>
      <c r="H2" s="47" t="s">
        <v>1025</v>
      </c>
      <c r="I2" s="50" t="s">
        <v>1026</v>
      </c>
      <c r="J2" s="48" t="s">
        <v>1031</v>
      </c>
      <c r="K2" s="47" t="str">
        <f t="shared" ref="K2:K65" si="0">IF(J2="", "", J2-B2)</f>
        <v/>
      </c>
    </row>
    <row r="3" spans="1:11" x14ac:dyDescent="0.25">
      <c r="A3" t="s">
        <v>11</v>
      </c>
      <c r="B3" s="48">
        <v>46003</v>
      </c>
      <c r="C3" t="s">
        <v>1014</v>
      </c>
      <c r="D3" t="s">
        <v>1017</v>
      </c>
      <c r="E3" s="47">
        <v>15</v>
      </c>
      <c r="F3" s="47">
        <v>1288</v>
      </c>
      <c r="G3" s="47">
        <v>19320</v>
      </c>
      <c r="H3" s="47" t="s">
        <v>1027</v>
      </c>
      <c r="I3" s="50" t="s">
        <v>1026</v>
      </c>
      <c r="J3" s="48" t="s">
        <v>1031</v>
      </c>
      <c r="K3" s="47" t="str">
        <f t="shared" si="0"/>
        <v/>
      </c>
    </row>
    <row r="4" spans="1:11" x14ac:dyDescent="0.25">
      <c r="A4" t="s">
        <v>12</v>
      </c>
      <c r="B4" s="48">
        <v>45751</v>
      </c>
      <c r="C4" t="s">
        <v>1010</v>
      </c>
      <c r="D4" t="s">
        <v>1020</v>
      </c>
      <c r="E4" s="47">
        <v>161</v>
      </c>
      <c r="F4" s="47">
        <v>1277</v>
      </c>
      <c r="G4" s="47">
        <v>205597</v>
      </c>
      <c r="H4" s="47" t="s">
        <v>1027</v>
      </c>
      <c r="I4" s="50" t="s">
        <v>1028</v>
      </c>
      <c r="J4" s="48">
        <v>45758</v>
      </c>
      <c r="K4" s="47">
        <f t="shared" si="0"/>
        <v>7</v>
      </c>
    </row>
    <row r="5" spans="1:11" x14ac:dyDescent="0.25">
      <c r="A5" t="s">
        <v>13</v>
      </c>
      <c r="B5" s="48">
        <v>45671</v>
      </c>
      <c r="C5" t="s">
        <v>1014</v>
      </c>
      <c r="D5" t="s">
        <v>1018</v>
      </c>
      <c r="E5" s="47">
        <v>114</v>
      </c>
      <c r="F5" s="47">
        <v>1720</v>
      </c>
      <c r="G5" s="47">
        <v>196080</v>
      </c>
      <c r="H5" s="47" t="s">
        <v>1027</v>
      </c>
      <c r="I5" s="50" t="s">
        <v>1026</v>
      </c>
      <c r="J5" s="48" t="s">
        <v>1031</v>
      </c>
      <c r="K5" s="47" t="str">
        <f t="shared" si="0"/>
        <v/>
      </c>
    </row>
    <row r="6" spans="1:11" x14ac:dyDescent="0.25">
      <c r="A6" t="s">
        <v>14</v>
      </c>
      <c r="B6" s="48">
        <v>45797</v>
      </c>
      <c r="C6" t="s">
        <v>1010</v>
      </c>
      <c r="D6" t="s">
        <v>1022</v>
      </c>
      <c r="E6" s="47">
        <v>169</v>
      </c>
      <c r="F6" s="47">
        <v>1902</v>
      </c>
      <c r="G6" s="47">
        <v>321438</v>
      </c>
      <c r="H6" s="47" t="s">
        <v>1027</v>
      </c>
      <c r="I6" s="50" t="s">
        <v>1026</v>
      </c>
      <c r="J6" s="48" t="s">
        <v>1031</v>
      </c>
      <c r="K6" s="47" t="str">
        <f t="shared" si="0"/>
        <v/>
      </c>
    </row>
    <row r="7" spans="1:11" x14ac:dyDescent="0.25">
      <c r="A7" t="s">
        <v>15</v>
      </c>
      <c r="B7" s="48">
        <v>45686</v>
      </c>
      <c r="C7" t="s">
        <v>1014</v>
      </c>
      <c r="D7" t="s">
        <v>1021</v>
      </c>
      <c r="E7" s="47">
        <v>486</v>
      </c>
      <c r="F7" s="47">
        <v>625</v>
      </c>
      <c r="G7" s="47">
        <v>303750</v>
      </c>
      <c r="H7" s="47" t="s">
        <v>1027</v>
      </c>
      <c r="I7" s="50" t="s">
        <v>1029</v>
      </c>
      <c r="J7" s="48" t="s">
        <v>1031</v>
      </c>
      <c r="K7" s="47" t="str">
        <f>IF(J7="", "", J7-B7)</f>
        <v/>
      </c>
    </row>
    <row r="8" spans="1:11" x14ac:dyDescent="0.25">
      <c r="A8" t="s">
        <v>16</v>
      </c>
      <c r="B8" s="48">
        <v>45768</v>
      </c>
      <c r="C8" t="s">
        <v>1012</v>
      </c>
      <c r="D8" t="s">
        <v>1024</v>
      </c>
      <c r="E8" s="47">
        <v>57</v>
      </c>
      <c r="F8" s="47">
        <v>194</v>
      </c>
      <c r="G8" s="47">
        <v>11058</v>
      </c>
      <c r="H8" s="47" t="s">
        <v>1027</v>
      </c>
      <c r="I8" s="50" t="s">
        <v>1026</v>
      </c>
      <c r="J8" s="48" t="s">
        <v>1031</v>
      </c>
      <c r="K8" s="47" t="str">
        <f t="shared" si="0"/>
        <v/>
      </c>
    </row>
    <row r="9" spans="1:11" x14ac:dyDescent="0.25">
      <c r="A9" t="s">
        <v>17</v>
      </c>
      <c r="B9" s="48">
        <v>45787</v>
      </c>
      <c r="C9" t="s">
        <v>1010</v>
      </c>
      <c r="D9" t="s">
        <v>1024</v>
      </c>
      <c r="E9" s="47">
        <v>483</v>
      </c>
      <c r="F9" s="47">
        <v>336</v>
      </c>
      <c r="G9" s="47">
        <v>162288</v>
      </c>
      <c r="H9" s="47" t="s">
        <v>1025</v>
      </c>
      <c r="I9" s="50" t="s">
        <v>1029</v>
      </c>
      <c r="J9" s="48" t="s">
        <v>1031</v>
      </c>
      <c r="K9" s="47" t="str">
        <f t="shared" si="0"/>
        <v/>
      </c>
    </row>
    <row r="10" spans="1:11" x14ac:dyDescent="0.25">
      <c r="A10" t="s">
        <v>18</v>
      </c>
      <c r="B10" s="48">
        <v>45911</v>
      </c>
      <c r="C10" t="s">
        <v>1013</v>
      </c>
      <c r="D10" t="s">
        <v>1024</v>
      </c>
      <c r="E10" s="47">
        <v>402</v>
      </c>
      <c r="F10" s="47">
        <v>955</v>
      </c>
      <c r="G10" s="47">
        <v>383910</v>
      </c>
      <c r="H10" s="47" t="s">
        <v>1030</v>
      </c>
      <c r="I10" s="50" t="s">
        <v>1028</v>
      </c>
      <c r="J10" s="48">
        <v>45921</v>
      </c>
      <c r="K10" s="47">
        <f t="shared" si="0"/>
        <v>10</v>
      </c>
    </row>
    <row r="11" spans="1:11" x14ac:dyDescent="0.25">
      <c r="A11" t="s">
        <v>19</v>
      </c>
      <c r="B11" s="48">
        <v>45658</v>
      </c>
      <c r="C11" t="s">
        <v>1014</v>
      </c>
      <c r="D11" t="s">
        <v>1018</v>
      </c>
      <c r="E11" s="47">
        <v>267</v>
      </c>
      <c r="F11" s="47">
        <v>786</v>
      </c>
      <c r="G11" s="47">
        <v>209862</v>
      </c>
      <c r="H11" s="47" t="s">
        <v>1030</v>
      </c>
      <c r="I11" s="50" t="s">
        <v>1026</v>
      </c>
      <c r="J11" s="48" t="s">
        <v>1031</v>
      </c>
      <c r="K11" s="47" t="str">
        <f t="shared" si="0"/>
        <v/>
      </c>
    </row>
    <row r="12" spans="1:11" x14ac:dyDescent="0.25">
      <c r="A12" t="s">
        <v>20</v>
      </c>
      <c r="B12" s="48">
        <v>45658</v>
      </c>
      <c r="C12" t="s">
        <v>1013</v>
      </c>
      <c r="D12" t="s">
        <v>1019</v>
      </c>
      <c r="E12" s="47">
        <v>228</v>
      </c>
      <c r="F12" s="47">
        <v>1714</v>
      </c>
      <c r="G12" s="47">
        <v>390792</v>
      </c>
      <c r="H12" s="47" t="s">
        <v>1027</v>
      </c>
      <c r="I12" s="50" t="s">
        <v>1026</v>
      </c>
      <c r="J12" s="48" t="s">
        <v>1031</v>
      </c>
      <c r="K12" s="47" t="str">
        <f t="shared" si="0"/>
        <v/>
      </c>
    </row>
    <row r="13" spans="1:11" x14ac:dyDescent="0.25">
      <c r="A13" t="s">
        <v>21</v>
      </c>
      <c r="B13" s="48">
        <v>45879</v>
      </c>
      <c r="C13" t="s">
        <v>1011</v>
      </c>
      <c r="D13" t="s">
        <v>1021</v>
      </c>
      <c r="E13" s="47">
        <v>484</v>
      </c>
      <c r="F13" s="47">
        <v>881</v>
      </c>
      <c r="G13" s="47">
        <v>426404</v>
      </c>
      <c r="H13" s="47" t="s">
        <v>1030</v>
      </c>
      <c r="I13" s="50" t="s">
        <v>1028</v>
      </c>
      <c r="J13" s="48">
        <v>45887</v>
      </c>
      <c r="K13" s="47">
        <f t="shared" si="0"/>
        <v>8</v>
      </c>
    </row>
    <row r="14" spans="1:11" x14ac:dyDescent="0.25">
      <c r="A14" t="s">
        <v>22</v>
      </c>
      <c r="B14" s="48">
        <v>45670</v>
      </c>
      <c r="C14" t="s">
        <v>1012</v>
      </c>
      <c r="D14" t="s">
        <v>1021</v>
      </c>
      <c r="E14" s="47">
        <v>95</v>
      </c>
      <c r="F14" s="47">
        <v>893</v>
      </c>
      <c r="G14" s="47">
        <v>84835</v>
      </c>
      <c r="H14" s="47" t="s">
        <v>1025</v>
      </c>
      <c r="I14" s="50" t="s">
        <v>1026</v>
      </c>
      <c r="J14" s="48" t="s">
        <v>1031</v>
      </c>
      <c r="K14" s="47" t="str">
        <f t="shared" si="0"/>
        <v/>
      </c>
    </row>
    <row r="15" spans="1:11" x14ac:dyDescent="0.25">
      <c r="A15" t="s">
        <v>23</v>
      </c>
      <c r="B15" s="48">
        <v>45725</v>
      </c>
      <c r="C15" t="s">
        <v>1012</v>
      </c>
      <c r="D15" t="s">
        <v>1023</v>
      </c>
      <c r="E15" s="47">
        <v>300</v>
      </c>
      <c r="F15" s="47">
        <v>1120</v>
      </c>
      <c r="G15" s="47">
        <v>336000</v>
      </c>
      <c r="H15" s="47" t="s">
        <v>1027</v>
      </c>
      <c r="I15" s="50" t="s">
        <v>1026</v>
      </c>
      <c r="J15" s="48" t="s">
        <v>1031</v>
      </c>
      <c r="K15" s="47" t="str">
        <f t="shared" si="0"/>
        <v/>
      </c>
    </row>
    <row r="16" spans="1:11" x14ac:dyDescent="0.25">
      <c r="A16" t="s">
        <v>24</v>
      </c>
      <c r="B16" s="48">
        <v>45683</v>
      </c>
      <c r="C16" t="s">
        <v>1011</v>
      </c>
      <c r="D16" t="s">
        <v>1024</v>
      </c>
      <c r="E16" s="47">
        <v>454</v>
      </c>
      <c r="F16" s="47">
        <v>537</v>
      </c>
      <c r="G16" s="47">
        <v>243798</v>
      </c>
      <c r="H16" s="47" t="s">
        <v>1025</v>
      </c>
      <c r="I16" s="50" t="s">
        <v>1028</v>
      </c>
      <c r="J16" s="48">
        <v>45692</v>
      </c>
      <c r="K16" s="47">
        <f t="shared" si="0"/>
        <v>9</v>
      </c>
    </row>
    <row r="17" spans="1:11" x14ac:dyDescent="0.25">
      <c r="A17" t="s">
        <v>25</v>
      </c>
      <c r="B17" s="48">
        <v>46025</v>
      </c>
      <c r="C17" t="s">
        <v>1014</v>
      </c>
      <c r="D17" t="s">
        <v>1022</v>
      </c>
      <c r="E17" s="47">
        <v>184</v>
      </c>
      <c r="F17" s="47">
        <v>80</v>
      </c>
      <c r="G17" s="47">
        <v>14720</v>
      </c>
      <c r="H17" s="47" t="s">
        <v>1025</v>
      </c>
      <c r="I17" s="50" t="s">
        <v>1026</v>
      </c>
      <c r="J17" s="48" t="s">
        <v>1031</v>
      </c>
      <c r="K17" s="47" t="str">
        <f t="shared" si="0"/>
        <v/>
      </c>
    </row>
    <row r="18" spans="1:11" x14ac:dyDescent="0.25">
      <c r="A18" t="s">
        <v>26</v>
      </c>
      <c r="B18" s="48">
        <v>45724</v>
      </c>
      <c r="C18" t="s">
        <v>1012</v>
      </c>
      <c r="D18" t="s">
        <v>1023</v>
      </c>
      <c r="E18" s="47">
        <v>381</v>
      </c>
      <c r="F18" s="47">
        <v>378</v>
      </c>
      <c r="G18" s="47">
        <v>144018</v>
      </c>
      <c r="H18" s="47" t="s">
        <v>1027</v>
      </c>
      <c r="I18" s="50" t="s">
        <v>1029</v>
      </c>
      <c r="J18" s="48" t="s">
        <v>1031</v>
      </c>
      <c r="K18" s="47" t="str">
        <f t="shared" si="0"/>
        <v/>
      </c>
    </row>
    <row r="19" spans="1:11" x14ac:dyDescent="0.25">
      <c r="A19" t="s">
        <v>27</v>
      </c>
      <c r="B19" s="48">
        <v>46019</v>
      </c>
      <c r="C19" t="s">
        <v>1011</v>
      </c>
      <c r="D19" t="s">
        <v>1024</v>
      </c>
      <c r="E19" s="47">
        <v>308</v>
      </c>
      <c r="F19" s="47">
        <v>1240</v>
      </c>
      <c r="G19" s="47">
        <v>381920</v>
      </c>
      <c r="H19" s="47" t="s">
        <v>1025</v>
      </c>
      <c r="I19" s="50" t="s">
        <v>1026</v>
      </c>
      <c r="J19" s="48" t="s">
        <v>1031</v>
      </c>
      <c r="K19" s="47" t="str">
        <f t="shared" si="0"/>
        <v/>
      </c>
    </row>
    <row r="20" spans="1:11" x14ac:dyDescent="0.25">
      <c r="A20" t="s">
        <v>28</v>
      </c>
      <c r="B20" s="48">
        <v>46015</v>
      </c>
      <c r="C20" t="s">
        <v>1011</v>
      </c>
      <c r="D20" t="s">
        <v>1016</v>
      </c>
      <c r="E20" s="47">
        <v>367</v>
      </c>
      <c r="F20" s="47">
        <v>403</v>
      </c>
      <c r="G20" s="47">
        <v>147901</v>
      </c>
      <c r="H20" s="47" t="s">
        <v>1025</v>
      </c>
      <c r="I20" s="50" t="s">
        <v>1028</v>
      </c>
      <c r="J20" s="48">
        <v>46026</v>
      </c>
      <c r="K20" s="47">
        <f t="shared" si="0"/>
        <v>11</v>
      </c>
    </row>
    <row r="21" spans="1:11" x14ac:dyDescent="0.25">
      <c r="A21" t="s">
        <v>29</v>
      </c>
      <c r="B21" s="48">
        <v>46003</v>
      </c>
      <c r="C21" t="s">
        <v>1014</v>
      </c>
      <c r="D21" t="s">
        <v>1024</v>
      </c>
      <c r="E21" s="47">
        <v>164</v>
      </c>
      <c r="F21" s="47">
        <v>785</v>
      </c>
      <c r="G21" s="47">
        <v>128740</v>
      </c>
      <c r="H21" s="47" t="s">
        <v>1027</v>
      </c>
      <c r="I21" s="50" t="s">
        <v>1028</v>
      </c>
      <c r="J21" s="48">
        <v>46009</v>
      </c>
      <c r="K21" s="47">
        <f t="shared" si="0"/>
        <v>6</v>
      </c>
    </row>
    <row r="22" spans="1:11" x14ac:dyDescent="0.25">
      <c r="A22" t="s">
        <v>30</v>
      </c>
      <c r="B22" s="48">
        <v>45883</v>
      </c>
      <c r="C22" t="s">
        <v>1014</v>
      </c>
      <c r="D22" t="s">
        <v>1024</v>
      </c>
      <c r="E22" s="47">
        <v>8</v>
      </c>
      <c r="F22" s="47">
        <v>1506</v>
      </c>
      <c r="G22" s="47">
        <v>12048</v>
      </c>
      <c r="H22" s="47" t="s">
        <v>1025</v>
      </c>
      <c r="I22" s="50" t="s">
        <v>1029</v>
      </c>
      <c r="J22" s="48" t="s">
        <v>1031</v>
      </c>
      <c r="K22" s="47" t="str">
        <f t="shared" si="0"/>
        <v/>
      </c>
    </row>
    <row r="23" spans="1:11" x14ac:dyDescent="0.25">
      <c r="A23" t="s">
        <v>31</v>
      </c>
      <c r="B23" s="48">
        <v>45886</v>
      </c>
      <c r="C23" t="s">
        <v>1010</v>
      </c>
      <c r="D23" t="s">
        <v>1023</v>
      </c>
      <c r="E23" s="47">
        <v>356</v>
      </c>
      <c r="F23" s="47">
        <v>1890</v>
      </c>
      <c r="G23" s="47">
        <v>672840</v>
      </c>
      <c r="H23" s="47" t="s">
        <v>1027</v>
      </c>
      <c r="I23" s="50" t="s">
        <v>1026</v>
      </c>
      <c r="J23" s="48" t="s">
        <v>1031</v>
      </c>
      <c r="K23" s="47" t="str">
        <f t="shared" si="0"/>
        <v/>
      </c>
    </row>
    <row r="24" spans="1:11" x14ac:dyDescent="0.25">
      <c r="A24" t="s">
        <v>32</v>
      </c>
      <c r="B24" s="48">
        <v>45776</v>
      </c>
      <c r="C24" t="s">
        <v>1012</v>
      </c>
      <c r="D24" t="s">
        <v>1017</v>
      </c>
      <c r="E24" s="47">
        <v>245</v>
      </c>
      <c r="F24" s="47">
        <v>1306</v>
      </c>
      <c r="G24" s="47">
        <v>319970</v>
      </c>
      <c r="H24" s="47" t="s">
        <v>1025</v>
      </c>
      <c r="I24" s="50" t="s">
        <v>1029</v>
      </c>
      <c r="J24" s="48" t="s">
        <v>1031</v>
      </c>
      <c r="K24" s="47" t="str">
        <f t="shared" si="0"/>
        <v/>
      </c>
    </row>
    <row r="25" spans="1:11" x14ac:dyDescent="0.25">
      <c r="A25" t="s">
        <v>33</v>
      </c>
      <c r="B25" s="48">
        <v>45804</v>
      </c>
      <c r="C25" t="s">
        <v>1014</v>
      </c>
      <c r="D25" t="s">
        <v>1022</v>
      </c>
      <c r="E25" s="47">
        <v>150</v>
      </c>
      <c r="F25" s="47">
        <v>1010</v>
      </c>
      <c r="G25" s="47">
        <v>151500</v>
      </c>
      <c r="H25" s="47" t="s">
        <v>1027</v>
      </c>
      <c r="I25" s="50" t="s">
        <v>1028</v>
      </c>
      <c r="J25" s="48">
        <v>45814</v>
      </c>
      <c r="K25" s="47">
        <f t="shared" si="0"/>
        <v>10</v>
      </c>
    </row>
    <row r="26" spans="1:11" x14ac:dyDescent="0.25">
      <c r="A26" t="s">
        <v>34</v>
      </c>
      <c r="B26" s="48">
        <v>45665</v>
      </c>
      <c r="C26" t="s">
        <v>1011</v>
      </c>
      <c r="D26" t="s">
        <v>1020</v>
      </c>
      <c r="E26" s="47">
        <v>11</v>
      </c>
      <c r="F26" s="47">
        <v>236</v>
      </c>
      <c r="G26" s="47">
        <v>2596</v>
      </c>
      <c r="H26" s="47" t="s">
        <v>1030</v>
      </c>
      <c r="I26" s="50" t="s">
        <v>1026</v>
      </c>
      <c r="J26" s="48" t="s">
        <v>1031</v>
      </c>
      <c r="K26" s="47" t="str">
        <f t="shared" si="0"/>
        <v/>
      </c>
    </row>
    <row r="27" spans="1:11" x14ac:dyDescent="0.25">
      <c r="A27" t="s">
        <v>35</v>
      </c>
      <c r="B27" s="48">
        <v>45937</v>
      </c>
      <c r="C27" t="s">
        <v>1011</v>
      </c>
      <c r="D27" t="s">
        <v>1017</v>
      </c>
      <c r="E27" s="47">
        <v>99</v>
      </c>
      <c r="F27" s="47">
        <v>1760</v>
      </c>
      <c r="G27" s="47">
        <v>174240</v>
      </c>
      <c r="H27" s="47" t="s">
        <v>1027</v>
      </c>
      <c r="I27" s="50" t="s">
        <v>1026</v>
      </c>
      <c r="J27" s="48" t="s">
        <v>1031</v>
      </c>
      <c r="K27" s="47" t="str">
        <f t="shared" si="0"/>
        <v/>
      </c>
    </row>
    <row r="28" spans="1:11" x14ac:dyDescent="0.25">
      <c r="A28" t="s">
        <v>36</v>
      </c>
      <c r="B28" s="48">
        <v>45805</v>
      </c>
      <c r="C28" t="s">
        <v>1011</v>
      </c>
      <c r="D28" t="s">
        <v>1021</v>
      </c>
      <c r="E28" s="47">
        <v>407</v>
      </c>
      <c r="F28" s="47">
        <v>1567</v>
      </c>
      <c r="G28" s="47">
        <v>637769</v>
      </c>
      <c r="H28" s="47" t="s">
        <v>1027</v>
      </c>
      <c r="I28" s="50" t="s">
        <v>1029</v>
      </c>
      <c r="J28" s="48" t="s">
        <v>1031</v>
      </c>
      <c r="K28" s="47" t="str">
        <f t="shared" si="0"/>
        <v/>
      </c>
    </row>
    <row r="29" spans="1:11" x14ac:dyDescent="0.25">
      <c r="A29" t="s">
        <v>37</v>
      </c>
      <c r="B29" s="48">
        <v>45731</v>
      </c>
      <c r="C29" t="s">
        <v>1010</v>
      </c>
      <c r="D29" t="s">
        <v>1024</v>
      </c>
      <c r="E29" s="47">
        <v>366</v>
      </c>
      <c r="F29" s="47">
        <v>380</v>
      </c>
      <c r="G29" s="47">
        <v>139080</v>
      </c>
      <c r="H29" s="47" t="s">
        <v>1030</v>
      </c>
      <c r="I29" s="50" t="s">
        <v>1028</v>
      </c>
      <c r="J29" s="48">
        <v>45740</v>
      </c>
      <c r="K29" s="47">
        <f t="shared" si="0"/>
        <v>9</v>
      </c>
    </row>
    <row r="30" spans="1:11" x14ac:dyDescent="0.25">
      <c r="A30" t="s">
        <v>38</v>
      </c>
      <c r="B30" s="48">
        <v>45986</v>
      </c>
      <c r="C30" t="s">
        <v>1014</v>
      </c>
      <c r="D30" t="s">
        <v>1016</v>
      </c>
      <c r="E30" s="47">
        <v>388</v>
      </c>
      <c r="F30" s="47">
        <v>1341</v>
      </c>
      <c r="G30" s="47">
        <v>520308</v>
      </c>
      <c r="H30" s="47" t="s">
        <v>1025</v>
      </c>
      <c r="I30" s="50" t="s">
        <v>1029</v>
      </c>
      <c r="J30" s="48" t="s">
        <v>1031</v>
      </c>
      <c r="K30" s="47" t="str">
        <f t="shared" si="0"/>
        <v/>
      </c>
    </row>
    <row r="31" spans="1:11" x14ac:dyDescent="0.25">
      <c r="A31" t="s">
        <v>39</v>
      </c>
      <c r="B31" s="48">
        <v>45694</v>
      </c>
      <c r="C31" t="s">
        <v>1010</v>
      </c>
      <c r="D31" t="s">
        <v>1016</v>
      </c>
      <c r="E31" s="47">
        <v>350</v>
      </c>
      <c r="F31" s="47">
        <v>140</v>
      </c>
      <c r="G31" s="47">
        <v>49000</v>
      </c>
      <c r="H31" s="47" t="s">
        <v>1025</v>
      </c>
      <c r="I31" s="50" t="s">
        <v>1028</v>
      </c>
      <c r="J31" s="48">
        <v>45703</v>
      </c>
      <c r="K31" s="47">
        <f t="shared" si="0"/>
        <v>9</v>
      </c>
    </row>
    <row r="32" spans="1:11" x14ac:dyDescent="0.25">
      <c r="A32" t="s">
        <v>40</v>
      </c>
      <c r="B32" s="48">
        <v>45965</v>
      </c>
      <c r="C32" t="s">
        <v>1011</v>
      </c>
      <c r="D32" t="s">
        <v>1015</v>
      </c>
      <c r="E32" s="47">
        <v>18</v>
      </c>
      <c r="F32" s="47">
        <v>1387</v>
      </c>
      <c r="G32" s="47">
        <v>24966</v>
      </c>
      <c r="H32" s="47" t="s">
        <v>1030</v>
      </c>
      <c r="I32" s="50" t="s">
        <v>1028</v>
      </c>
      <c r="J32" s="48">
        <v>45974</v>
      </c>
      <c r="K32" s="47">
        <f t="shared" si="0"/>
        <v>9</v>
      </c>
    </row>
    <row r="33" spans="1:11" x14ac:dyDescent="0.25">
      <c r="A33" t="s">
        <v>41</v>
      </c>
      <c r="B33" s="48">
        <v>45963</v>
      </c>
      <c r="C33" t="s">
        <v>1010</v>
      </c>
      <c r="D33" t="s">
        <v>1017</v>
      </c>
      <c r="E33" s="47">
        <v>28</v>
      </c>
      <c r="F33" s="47">
        <v>291</v>
      </c>
      <c r="G33" s="47">
        <v>8148</v>
      </c>
      <c r="H33" s="47" t="s">
        <v>1025</v>
      </c>
      <c r="I33" s="50" t="s">
        <v>1029</v>
      </c>
      <c r="J33" s="48" t="s">
        <v>1031</v>
      </c>
      <c r="K33" s="47" t="str">
        <f t="shared" si="0"/>
        <v/>
      </c>
    </row>
    <row r="34" spans="1:11" x14ac:dyDescent="0.25">
      <c r="A34" t="s">
        <v>42</v>
      </c>
      <c r="B34" s="48">
        <v>45809</v>
      </c>
      <c r="C34" t="s">
        <v>1011</v>
      </c>
      <c r="D34" t="s">
        <v>1015</v>
      </c>
      <c r="E34" s="47">
        <v>84</v>
      </c>
      <c r="F34" s="47">
        <v>906</v>
      </c>
      <c r="G34" s="47">
        <v>76104</v>
      </c>
      <c r="H34" s="47" t="s">
        <v>1025</v>
      </c>
      <c r="I34" s="50" t="s">
        <v>1029</v>
      </c>
      <c r="J34" s="48" t="s">
        <v>1031</v>
      </c>
      <c r="K34" s="47" t="str">
        <f t="shared" si="0"/>
        <v/>
      </c>
    </row>
    <row r="35" spans="1:11" x14ac:dyDescent="0.25">
      <c r="A35" t="s">
        <v>43</v>
      </c>
      <c r="B35" s="48">
        <v>46022</v>
      </c>
      <c r="C35" t="s">
        <v>1013</v>
      </c>
      <c r="D35" t="s">
        <v>1017</v>
      </c>
      <c r="E35" s="47">
        <v>453</v>
      </c>
      <c r="F35" s="47">
        <v>1518</v>
      </c>
      <c r="G35" s="47">
        <v>687654</v>
      </c>
      <c r="H35" s="47" t="s">
        <v>1027</v>
      </c>
      <c r="I35" s="50" t="s">
        <v>1026</v>
      </c>
      <c r="J35" s="48" t="s">
        <v>1031</v>
      </c>
      <c r="K35" s="47" t="str">
        <f t="shared" si="0"/>
        <v/>
      </c>
    </row>
    <row r="36" spans="1:11" x14ac:dyDescent="0.25">
      <c r="A36" t="s">
        <v>44</v>
      </c>
      <c r="B36" s="48">
        <v>45887</v>
      </c>
      <c r="C36" t="s">
        <v>1010</v>
      </c>
      <c r="D36" t="s">
        <v>1022</v>
      </c>
      <c r="E36" s="47">
        <v>441</v>
      </c>
      <c r="F36" s="47">
        <v>1271</v>
      </c>
      <c r="G36" s="47">
        <v>560511</v>
      </c>
      <c r="H36" s="47" t="s">
        <v>1027</v>
      </c>
      <c r="I36" s="50" t="s">
        <v>1026</v>
      </c>
      <c r="J36" s="48" t="s">
        <v>1031</v>
      </c>
      <c r="K36" s="47" t="str">
        <f t="shared" si="0"/>
        <v/>
      </c>
    </row>
    <row r="37" spans="1:11" x14ac:dyDescent="0.25">
      <c r="A37" t="s">
        <v>45</v>
      </c>
      <c r="B37" s="48">
        <v>45709</v>
      </c>
      <c r="C37" t="s">
        <v>1010</v>
      </c>
      <c r="D37" t="s">
        <v>1016</v>
      </c>
      <c r="E37" s="47">
        <v>262</v>
      </c>
      <c r="F37" s="47">
        <v>283</v>
      </c>
      <c r="G37" s="47">
        <v>74146</v>
      </c>
      <c r="H37" s="47" t="s">
        <v>1025</v>
      </c>
      <c r="I37" s="50" t="s">
        <v>1029</v>
      </c>
      <c r="J37" s="48" t="s">
        <v>1031</v>
      </c>
      <c r="K37" s="47" t="str">
        <f t="shared" si="0"/>
        <v/>
      </c>
    </row>
    <row r="38" spans="1:11" x14ac:dyDescent="0.25">
      <c r="A38" t="s">
        <v>46</v>
      </c>
      <c r="B38" s="48">
        <v>45956</v>
      </c>
      <c r="C38" t="s">
        <v>1013</v>
      </c>
      <c r="D38" t="s">
        <v>1024</v>
      </c>
      <c r="E38" s="47">
        <v>287</v>
      </c>
      <c r="F38" s="47">
        <v>1697</v>
      </c>
      <c r="G38" s="47">
        <v>487039</v>
      </c>
      <c r="H38" s="47" t="s">
        <v>1030</v>
      </c>
      <c r="I38" s="50" t="s">
        <v>1026</v>
      </c>
      <c r="J38" s="48" t="s">
        <v>1031</v>
      </c>
      <c r="K38" s="47" t="str">
        <f t="shared" si="0"/>
        <v/>
      </c>
    </row>
    <row r="39" spans="1:11" x14ac:dyDescent="0.25">
      <c r="A39" t="s">
        <v>47</v>
      </c>
      <c r="B39" s="48">
        <v>45872</v>
      </c>
      <c r="C39" t="s">
        <v>1011</v>
      </c>
      <c r="D39" t="s">
        <v>1016</v>
      </c>
      <c r="E39" s="47">
        <v>92</v>
      </c>
      <c r="F39" s="47">
        <v>919</v>
      </c>
      <c r="G39" s="47">
        <v>84548</v>
      </c>
      <c r="H39" s="47" t="s">
        <v>1025</v>
      </c>
      <c r="I39" s="50" t="s">
        <v>1026</v>
      </c>
      <c r="J39" s="48" t="s">
        <v>1031</v>
      </c>
      <c r="K39" s="47" t="str">
        <f t="shared" si="0"/>
        <v/>
      </c>
    </row>
    <row r="40" spans="1:11" x14ac:dyDescent="0.25">
      <c r="A40" t="s">
        <v>48</v>
      </c>
      <c r="B40" s="48">
        <v>45800</v>
      </c>
      <c r="C40" t="s">
        <v>1014</v>
      </c>
      <c r="D40" t="s">
        <v>1018</v>
      </c>
      <c r="E40" s="47">
        <v>28</v>
      </c>
      <c r="F40" s="47">
        <v>1663</v>
      </c>
      <c r="G40" s="47">
        <v>46564</v>
      </c>
      <c r="H40" s="47" t="s">
        <v>1025</v>
      </c>
      <c r="I40" s="50" t="s">
        <v>1029</v>
      </c>
      <c r="J40" s="48" t="s">
        <v>1031</v>
      </c>
      <c r="K40" s="47" t="str">
        <f t="shared" si="0"/>
        <v/>
      </c>
    </row>
    <row r="41" spans="1:11" x14ac:dyDescent="0.25">
      <c r="A41" t="s">
        <v>49</v>
      </c>
      <c r="B41" s="48">
        <v>45726</v>
      </c>
      <c r="C41" t="s">
        <v>1011</v>
      </c>
      <c r="D41" t="s">
        <v>1017</v>
      </c>
      <c r="E41" s="47">
        <v>69</v>
      </c>
      <c r="F41" s="47">
        <v>1415</v>
      </c>
      <c r="G41" s="47">
        <v>97635</v>
      </c>
      <c r="H41" s="47" t="s">
        <v>1030</v>
      </c>
      <c r="I41" s="50" t="s">
        <v>1028</v>
      </c>
      <c r="J41" s="48">
        <v>45735</v>
      </c>
      <c r="K41" s="47">
        <f t="shared" si="0"/>
        <v>9</v>
      </c>
    </row>
    <row r="42" spans="1:11" x14ac:dyDescent="0.25">
      <c r="A42" t="s">
        <v>50</v>
      </c>
      <c r="B42" s="48">
        <v>45795</v>
      </c>
      <c r="C42" t="s">
        <v>1013</v>
      </c>
      <c r="D42" t="s">
        <v>1021</v>
      </c>
      <c r="E42" s="47">
        <v>60</v>
      </c>
      <c r="F42" s="47">
        <v>408</v>
      </c>
      <c r="G42" s="47">
        <v>24480</v>
      </c>
      <c r="H42" s="47" t="s">
        <v>1027</v>
      </c>
      <c r="I42" s="50" t="s">
        <v>1026</v>
      </c>
      <c r="J42" s="48" t="s">
        <v>1031</v>
      </c>
      <c r="K42" s="47" t="str">
        <f t="shared" si="0"/>
        <v/>
      </c>
    </row>
    <row r="43" spans="1:11" x14ac:dyDescent="0.25">
      <c r="A43" t="s">
        <v>51</v>
      </c>
      <c r="B43" s="48">
        <v>45914</v>
      </c>
      <c r="C43" t="s">
        <v>1011</v>
      </c>
      <c r="D43" t="s">
        <v>1017</v>
      </c>
      <c r="E43" s="47">
        <v>157</v>
      </c>
      <c r="F43" s="47">
        <v>1267</v>
      </c>
      <c r="G43" s="47">
        <v>198919</v>
      </c>
      <c r="H43" s="47" t="s">
        <v>1025</v>
      </c>
      <c r="I43" s="50" t="s">
        <v>1026</v>
      </c>
      <c r="J43" s="48" t="s">
        <v>1031</v>
      </c>
      <c r="K43" s="47" t="str">
        <f t="shared" si="0"/>
        <v/>
      </c>
    </row>
    <row r="44" spans="1:11" x14ac:dyDescent="0.25">
      <c r="A44" t="s">
        <v>52</v>
      </c>
      <c r="B44" s="48">
        <v>45660</v>
      </c>
      <c r="C44" t="s">
        <v>1011</v>
      </c>
      <c r="D44" t="s">
        <v>1024</v>
      </c>
      <c r="E44" s="47">
        <v>204</v>
      </c>
      <c r="F44" s="47">
        <v>1355</v>
      </c>
      <c r="G44" s="47">
        <v>276420</v>
      </c>
      <c r="H44" s="47" t="s">
        <v>1025</v>
      </c>
      <c r="I44" s="50" t="s">
        <v>1026</v>
      </c>
      <c r="J44" s="48" t="s">
        <v>1031</v>
      </c>
      <c r="K44" s="47" t="str">
        <f t="shared" si="0"/>
        <v/>
      </c>
    </row>
    <row r="45" spans="1:11" x14ac:dyDescent="0.25">
      <c r="A45" t="s">
        <v>53</v>
      </c>
      <c r="B45" s="48">
        <v>45877</v>
      </c>
      <c r="C45" t="s">
        <v>1010</v>
      </c>
      <c r="D45" t="s">
        <v>1020</v>
      </c>
      <c r="E45" s="47">
        <v>313</v>
      </c>
      <c r="F45" s="47">
        <v>1585</v>
      </c>
      <c r="G45" s="47">
        <v>496105</v>
      </c>
      <c r="H45" s="47" t="s">
        <v>1027</v>
      </c>
      <c r="I45" s="50" t="s">
        <v>1029</v>
      </c>
      <c r="J45" s="48" t="s">
        <v>1031</v>
      </c>
      <c r="K45" s="47" t="str">
        <f t="shared" si="0"/>
        <v/>
      </c>
    </row>
    <row r="46" spans="1:11" x14ac:dyDescent="0.25">
      <c r="A46" t="s">
        <v>54</v>
      </c>
      <c r="B46" s="48">
        <v>45892</v>
      </c>
      <c r="C46" t="s">
        <v>1014</v>
      </c>
      <c r="D46" t="s">
        <v>1022</v>
      </c>
      <c r="E46" s="47">
        <v>277</v>
      </c>
      <c r="F46" s="47">
        <v>688</v>
      </c>
      <c r="G46" s="47">
        <v>190576</v>
      </c>
      <c r="H46" s="47" t="s">
        <v>1030</v>
      </c>
      <c r="I46" s="50" t="s">
        <v>1028</v>
      </c>
      <c r="J46" s="48">
        <v>45903</v>
      </c>
      <c r="K46" s="47">
        <f t="shared" si="0"/>
        <v>11</v>
      </c>
    </row>
    <row r="47" spans="1:11" x14ac:dyDescent="0.25">
      <c r="A47" t="s">
        <v>55</v>
      </c>
      <c r="B47" s="48">
        <v>45826</v>
      </c>
      <c r="C47" t="s">
        <v>1013</v>
      </c>
      <c r="D47" t="s">
        <v>1022</v>
      </c>
      <c r="E47" s="47">
        <v>284</v>
      </c>
      <c r="F47" s="47">
        <v>689</v>
      </c>
      <c r="G47" s="47">
        <v>195676</v>
      </c>
      <c r="H47" s="47" t="s">
        <v>1030</v>
      </c>
      <c r="I47" s="50" t="s">
        <v>1026</v>
      </c>
      <c r="J47" s="48" t="s">
        <v>1031</v>
      </c>
      <c r="K47" s="47" t="str">
        <f t="shared" si="0"/>
        <v/>
      </c>
    </row>
    <row r="48" spans="1:11" x14ac:dyDescent="0.25">
      <c r="A48" t="s">
        <v>56</v>
      </c>
      <c r="B48" s="48">
        <v>45677</v>
      </c>
      <c r="C48" t="s">
        <v>1012</v>
      </c>
      <c r="D48" t="s">
        <v>1022</v>
      </c>
      <c r="E48" s="47">
        <v>245</v>
      </c>
      <c r="F48" s="47">
        <v>1017</v>
      </c>
      <c r="G48" s="47">
        <v>249165</v>
      </c>
      <c r="H48" s="47" t="s">
        <v>1030</v>
      </c>
      <c r="I48" s="50" t="s">
        <v>1029</v>
      </c>
      <c r="J48" s="48" t="s">
        <v>1031</v>
      </c>
      <c r="K48" s="47" t="str">
        <f t="shared" si="0"/>
        <v/>
      </c>
    </row>
    <row r="49" spans="1:11" x14ac:dyDescent="0.25">
      <c r="A49" t="s">
        <v>57</v>
      </c>
      <c r="B49" s="48">
        <v>45975</v>
      </c>
      <c r="C49" t="s">
        <v>1010</v>
      </c>
      <c r="D49" t="s">
        <v>1023</v>
      </c>
      <c r="E49" s="47">
        <v>256</v>
      </c>
      <c r="F49" s="47">
        <v>494</v>
      </c>
      <c r="G49" s="47">
        <v>126464</v>
      </c>
      <c r="H49" s="47" t="s">
        <v>1027</v>
      </c>
      <c r="I49" s="50" t="s">
        <v>1029</v>
      </c>
      <c r="J49" s="48" t="s">
        <v>1031</v>
      </c>
      <c r="K49" s="47" t="str">
        <f t="shared" si="0"/>
        <v/>
      </c>
    </row>
    <row r="50" spans="1:11" x14ac:dyDescent="0.25">
      <c r="A50" t="s">
        <v>58</v>
      </c>
      <c r="B50" s="48">
        <v>45691</v>
      </c>
      <c r="C50" t="s">
        <v>1014</v>
      </c>
      <c r="D50" t="s">
        <v>1017</v>
      </c>
      <c r="E50" s="47">
        <v>278</v>
      </c>
      <c r="F50" s="47">
        <v>1362</v>
      </c>
      <c r="G50" s="47">
        <v>378636</v>
      </c>
      <c r="H50" s="47" t="s">
        <v>1025</v>
      </c>
      <c r="I50" s="50" t="s">
        <v>1026</v>
      </c>
      <c r="J50" s="48" t="s">
        <v>1031</v>
      </c>
      <c r="K50" s="47" t="str">
        <f t="shared" si="0"/>
        <v/>
      </c>
    </row>
    <row r="51" spans="1:11" x14ac:dyDescent="0.25">
      <c r="A51" t="s">
        <v>59</v>
      </c>
      <c r="B51" s="48">
        <v>46017</v>
      </c>
      <c r="C51" t="s">
        <v>1011</v>
      </c>
      <c r="D51" t="s">
        <v>1020</v>
      </c>
      <c r="E51" s="47">
        <v>355</v>
      </c>
      <c r="F51" s="47">
        <v>515</v>
      </c>
      <c r="G51" s="47">
        <v>182825</v>
      </c>
      <c r="H51" s="47" t="s">
        <v>1027</v>
      </c>
      <c r="I51" s="50" t="s">
        <v>1026</v>
      </c>
      <c r="J51" s="48" t="s">
        <v>1031</v>
      </c>
      <c r="K51" s="47" t="str">
        <f t="shared" si="0"/>
        <v/>
      </c>
    </row>
    <row r="52" spans="1:11" x14ac:dyDescent="0.25">
      <c r="A52" t="s">
        <v>60</v>
      </c>
      <c r="B52" s="48">
        <v>46028</v>
      </c>
      <c r="C52" t="s">
        <v>1014</v>
      </c>
      <c r="D52" t="s">
        <v>1023</v>
      </c>
      <c r="E52" s="47">
        <v>411</v>
      </c>
      <c r="F52" s="47">
        <v>1055</v>
      </c>
      <c r="G52" s="47">
        <v>433605</v>
      </c>
      <c r="H52" s="47" t="s">
        <v>1030</v>
      </c>
      <c r="I52" s="50" t="s">
        <v>1028</v>
      </c>
      <c r="J52" s="48">
        <v>46040</v>
      </c>
      <c r="K52" s="47">
        <f t="shared" si="0"/>
        <v>12</v>
      </c>
    </row>
    <row r="53" spans="1:11" x14ac:dyDescent="0.25">
      <c r="A53" t="s">
        <v>61</v>
      </c>
      <c r="B53" s="48">
        <v>45911</v>
      </c>
      <c r="C53" t="s">
        <v>1010</v>
      </c>
      <c r="D53" t="s">
        <v>1023</v>
      </c>
      <c r="E53" s="47">
        <v>490</v>
      </c>
      <c r="F53" s="47">
        <v>563</v>
      </c>
      <c r="G53" s="47">
        <v>275870</v>
      </c>
      <c r="H53" s="47" t="s">
        <v>1027</v>
      </c>
      <c r="I53" s="50" t="s">
        <v>1026</v>
      </c>
      <c r="J53" s="48" t="s">
        <v>1031</v>
      </c>
      <c r="K53" s="47" t="str">
        <f t="shared" si="0"/>
        <v/>
      </c>
    </row>
    <row r="54" spans="1:11" x14ac:dyDescent="0.25">
      <c r="A54" t="s">
        <v>62</v>
      </c>
      <c r="B54" s="48">
        <v>45997</v>
      </c>
      <c r="C54" t="s">
        <v>1011</v>
      </c>
      <c r="D54" t="s">
        <v>1024</v>
      </c>
      <c r="E54" s="47">
        <v>156</v>
      </c>
      <c r="F54" s="47">
        <v>122</v>
      </c>
      <c r="G54" s="47">
        <v>19032</v>
      </c>
      <c r="H54" s="47" t="s">
        <v>1027</v>
      </c>
      <c r="I54" s="50" t="s">
        <v>1029</v>
      </c>
      <c r="J54" s="48" t="s">
        <v>1031</v>
      </c>
      <c r="K54" s="47" t="str">
        <f t="shared" si="0"/>
        <v/>
      </c>
    </row>
    <row r="55" spans="1:11" x14ac:dyDescent="0.25">
      <c r="A55" t="s">
        <v>63</v>
      </c>
      <c r="B55" s="48">
        <v>46020</v>
      </c>
      <c r="C55" t="s">
        <v>1014</v>
      </c>
      <c r="D55" t="s">
        <v>1021</v>
      </c>
      <c r="E55" s="47">
        <v>3</v>
      </c>
      <c r="F55" s="47">
        <v>1348</v>
      </c>
      <c r="G55" s="47">
        <v>4044</v>
      </c>
      <c r="H55" s="47" t="s">
        <v>1030</v>
      </c>
      <c r="I55" s="50" t="s">
        <v>1029</v>
      </c>
      <c r="J55" s="48" t="s">
        <v>1031</v>
      </c>
      <c r="K55" s="47" t="str">
        <f t="shared" si="0"/>
        <v/>
      </c>
    </row>
    <row r="56" spans="1:11" x14ac:dyDescent="0.25">
      <c r="A56" t="s">
        <v>64</v>
      </c>
      <c r="B56" s="48">
        <v>45977</v>
      </c>
      <c r="C56" t="s">
        <v>1013</v>
      </c>
      <c r="D56" t="s">
        <v>1020</v>
      </c>
      <c r="E56" s="47">
        <v>308</v>
      </c>
      <c r="F56" s="47">
        <v>492</v>
      </c>
      <c r="G56" s="47">
        <v>151536</v>
      </c>
      <c r="H56" s="47" t="s">
        <v>1025</v>
      </c>
      <c r="I56" s="50" t="s">
        <v>1028</v>
      </c>
      <c r="J56" s="48">
        <v>45986</v>
      </c>
      <c r="K56" s="47">
        <f t="shared" si="0"/>
        <v>9</v>
      </c>
    </row>
    <row r="57" spans="1:11" x14ac:dyDescent="0.25">
      <c r="A57" t="s">
        <v>65</v>
      </c>
      <c r="B57" s="48">
        <v>45722</v>
      </c>
      <c r="C57" t="s">
        <v>1014</v>
      </c>
      <c r="D57" t="s">
        <v>1015</v>
      </c>
      <c r="E57" s="47">
        <v>4</v>
      </c>
      <c r="F57" s="47">
        <v>99</v>
      </c>
      <c r="G57" s="47">
        <v>396</v>
      </c>
      <c r="H57" s="47" t="s">
        <v>1027</v>
      </c>
      <c r="I57" s="50" t="s">
        <v>1029</v>
      </c>
      <c r="J57" s="48" t="s">
        <v>1031</v>
      </c>
      <c r="K57" s="47" t="str">
        <f t="shared" si="0"/>
        <v/>
      </c>
    </row>
    <row r="58" spans="1:11" x14ac:dyDescent="0.25">
      <c r="A58" t="s">
        <v>66</v>
      </c>
      <c r="B58" s="48">
        <v>45895</v>
      </c>
      <c r="C58" t="s">
        <v>1011</v>
      </c>
      <c r="D58" t="s">
        <v>1021</v>
      </c>
      <c r="E58" s="47">
        <v>436</v>
      </c>
      <c r="F58" s="47">
        <v>1140</v>
      </c>
      <c r="G58" s="47">
        <v>497040</v>
      </c>
      <c r="H58" s="47" t="s">
        <v>1027</v>
      </c>
      <c r="I58" s="50" t="s">
        <v>1029</v>
      </c>
      <c r="J58" s="48" t="s">
        <v>1031</v>
      </c>
      <c r="K58" s="47" t="str">
        <f t="shared" si="0"/>
        <v/>
      </c>
    </row>
    <row r="59" spans="1:11" x14ac:dyDescent="0.25">
      <c r="A59" t="s">
        <v>67</v>
      </c>
      <c r="B59" s="48">
        <v>45959</v>
      </c>
      <c r="C59" t="s">
        <v>1013</v>
      </c>
      <c r="D59" t="s">
        <v>1020</v>
      </c>
      <c r="E59" s="47">
        <v>139</v>
      </c>
      <c r="F59" s="47">
        <v>1053</v>
      </c>
      <c r="G59" s="47">
        <v>146367</v>
      </c>
      <c r="H59" s="47" t="s">
        <v>1025</v>
      </c>
      <c r="I59" s="50" t="s">
        <v>1029</v>
      </c>
      <c r="J59" s="48" t="s">
        <v>1031</v>
      </c>
      <c r="K59" s="47" t="str">
        <f t="shared" si="0"/>
        <v/>
      </c>
    </row>
    <row r="60" spans="1:11" x14ac:dyDescent="0.25">
      <c r="A60" t="s">
        <v>68</v>
      </c>
      <c r="B60" s="48">
        <v>45712</v>
      </c>
      <c r="C60" t="s">
        <v>1013</v>
      </c>
      <c r="D60" t="s">
        <v>1024</v>
      </c>
      <c r="E60" s="47">
        <v>281</v>
      </c>
      <c r="F60" s="47">
        <v>1475</v>
      </c>
      <c r="G60" s="47">
        <v>414475</v>
      </c>
      <c r="H60" s="47" t="s">
        <v>1025</v>
      </c>
      <c r="I60" s="50" t="s">
        <v>1029</v>
      </c>
      <c r="J60" s="48" t="s">
        <v>1031</v>
      </c>
      <c r="K60" s="47" t="str">
        <f t="shared" si="0"/>
        <v/>
      </c>
    </row>
    <row r="61" spans="1:11" x14ac:dyDescent="0.25">
      <c r="A61" t="s">
        <v>69</v>
      </c>
      <c r="B61" s="48">
        <v>45956</v>
      </c>
      <c r="C61" t="s">
        <v>1013</v>
      </c>
      <c r="D61" t="s">
        <v>1024</v>
      </c>
      <c r="E61" s="47">
        <v>221</v>
      </c>
      <c r="F61" s="47">
        <v>1845</v>
      </c>
      <c r="G61" s="47">
        <v>407745</v>
      </c>
      <c r="H61" s="47" t="s">
        <v>1030</v>
      </c>
      <c r="I61" s="50" t="s">
        <v>1028</v>
      </c>
      <c r="J61" s="48">
        <v>45967</v>
      </c>
      <c r="K61" s="47">
        <f t="shared" si="0"/>
        <v>11</v>
      </c>
    </row>
    <row r="62" spans="1:11" x14ac:dyDescent="0.25">
      <c r="A62" t="s">
        <v>70</v>
      </c>
      <c r="B62" s="48">
        <v>45727</v>
      </c>
      <c r="C62" t="s">
        <v>1011</v>
      </c>
      <c r="D62" t="s">
        <v>1024</v>
      </c>
      <c r="E62" s="47">
        <v>159</v>
      </c>
      <c r="F62" s="47">
        <v>178</v>
      </c>
      <c r="G62" s="47">
        <v>28302</v>
      </c>
      <c r="H62" s="47" t="s">
        <v>1025</v>
      </c>
      <c r="I62" s="50" t="s">
        <v>1029</v>
      </c>
      <c r="J62" s="48" t="s">
        <v>1031</v>
      </c>
      <c r="K62" s="47" t="str">
        <f t="shared" si="0"/>
        <v/>
      </c>
    </row>
    <row r="63" spans="1:11" x14ac:dyDescent="0.25">
      <c r="A63" t="s">
        <v>71</v>
      </c>
      <c r="B63" s="48">
        <v>46036</v>
      </c>
      <c r="C63" t="s">
        <v>1014</v>
      </c>
      <c r="D63" t="s">
        <v>1016</v>
      </c>
      <c r="E63" s="47">
        <v>182</v>
      </c>
      <c r="F63" s="47">
        <v>739</v>
      </c>
      <c r="G63" s="47">
        <v>134498</v>
      </c>
      <c r="H63" s="47" t="s">
        <v>1027</v>
      </c>
      <c r="I63" s="50" t="s">
        <v>1029</v>
      </c>
      <c r="J63" s="48" t="s">
        <v>1031</v>
      </c>
      <c r="K63" s="47" t="str">
        <f t="shared" si="0"/>
        <v/>
      </c>
    </row>
    <row r="64" spans="1:11" x14ac:dyDescent="0.25">
      <c r="A64" t="s">
        <v>72</v>
      </c>
      <c r="B64" s="48">
        <v>45962</v>
      </c>
      <c r="C64" t="s">
        <v>1010</v>
      </c>
      <c r="D64" t="s">
        <v>1021</v>
      </c>
      <c r="E64" s="47">
        <v>70</v>
      </c>
      <c r="F64" s="47">
        <v>1858</v>
      </c>
      <c r="G64" s="47">
        <v>130060</v>
      </c>
      <c r="H64" s="47" t="s">
        <v>1027</v>
      </c>
      <c r="I64" s="50" t="s">
        <v>1029</v>
      </c>
      <c r="J64" s="48" t="s">
        <v>1031</v>
      </c>
      <c r="K64" s="47" t="str">
        <f t="shared" si="0"/>
        <v/>
      </c>
    </row>
    <row r="65" spans="1:11" x14ac:dyDescent="0.25">
      <c r="A65" t="s">
        <v>73</v>
      </c>
      <c r="B65" s="48">
        <v>45895</v>
      </c>
      <c r="C65" t="s">
        <v>1011</v>
      </c>
      <c r="D65" t="s">
        <v>1018</v>
      </c>
      <c r="E65" s="47">
        <v>206</v>
      </c>
      <c r="F65" s="47">
        <v>1488</v>
      </c>
      <c r="G65" s="47">
        <v>306528</v>
      </c>
      <c r="H65" s="47" t="s">
        <v>1030</v>
      </c>
      <c r="I65" s="50" t="s">
        <v>1028</v>
      </c>
      <c r="J65" s="48">
        <v>45909</v>
      </c>
      <c r="K65" s="47">
        <f t="shared" si="0"/>
        <v>14</v>
      </c>
    </row>
    <row r="66" spans="1:11" x14ac:dyDescent="0.25">
      <c r="A66" t="s">
        <v>74</v>
      </c>
      <c r="B66" s="48">
        <v>45980</v>
      </c>
      <c r="C66" t="s">
        <v>1010</v>
      </c>
      <c r="D66" t="s">
        <v>1016</v>
      </c>
      <c r="E66" s="47">
        <v>223</v>
      </c>
      <c r="F66" s="47">
        <v>396</v>
      </c>
      <c r="G66" s="47">
        <v>88308</v>
      </c>
      <c r="H66" s="47" t="s">
        <v>1025</v>
      </c>
      <c r="I66" s="50" t="s">
        <v>1026</v>
      </c>
      <c r="J66" s="48" t="s">
        <v>1031</v>
      </c>
      <c r="K66" s="47" t="str">
        <f t="shared" ref="K66:K129" si="1">IF(J66="", "", J66-B66)</f>
        <v/>
      </c>
    </row>
    <row r="67" spans="1:11" x14ac:dyDescent="0.25">
      <c r="A67" t="s">
        <v>75</v>
      </c>
      <c r="B67" s="48">
        <v>45934</v>
      </c>
      <c r="C67" t="s">
        <v>1011</v>
      </c>
      <c r="D67" t="s">
        <v>1021</v>
      </c>
      <c r="E67" s="47">
        <v>160</v>
      </c>
      <c r="F67" s="47">
        <v>163</v>
      </c>
      <c r="G67" s="47">
        <v>26080</v>
      </c>
      <c r="H67" s="47" t="s">
        <v>1025</v>
      </c>
      <c r="I67" s="50" t="s">
        <v>1029</v>
      </c>
      <c r="J67" s="48" t="s">
        <v>1031</v>
      </c>
      <c r="K67" s="47" t="str">
        <f t="shared" si="1"/>
        <v/>
      </c>
    </row>
    <row r="68" spans="1:11" x14ac:dyDescent="0.25">
      <c r="A68" t="s">
        <v>76</v>
      </c>
      <c r="B68" s="48">
        <v>45967</v>
      </c>
      <c r="C68" t="s">
        <v>1010</v>
      </c>
      <c r="D68" t="s">
        <v>1020</v>
      </c>
      <c r="E68" s="47">
        <v>393</v>
      </c>
      <c r="F68" s="47">
        <v>1133</v>
      </c>
      <c r="G68" s="47">
        <v>445269</v>
      </c>
      <c r="H68" s="47" t="s">
        <v>1027</v>
      </c>
      <c r="I68" s="50" t="s">
        <v>1029</v>
      </c>
      <c r="J68" s="48" t="s">
        <v>1031</v>
      </c>
      <c r="K68" s="47" t="str">
        <f t="shared" si="1"/>
        <v/>
      </c>
    </row>
    <row r="69" spans="1:11" x14ac:dyDescent="0.25">
      <c r="A69" t="s">
        <v>77</v>
      </c>
      <c r="B69" s="48">
        <v>45841</v>
      </c>
      <c r="C69" t="s">
        <v>1014</v>
      </c>
      <c r="D69" t="s">
        <v>1023</v>
      </c>
      <c r="E69" s="47">
        <v>182</v>
      </c>
      <c r="F69" s="47">
        <v>856</v>
      </c>
      <c r="G69" s="47">
        <v>155792</v>
      </c>
      <c r="H69" s="47" t="s">
        <v>1027</v>
      </c>
      <c r="I69" s="50" t="s">
        <v>1029</v>
      </c>
      <c r="J69" s="48" t="s">
        <v>1031</v>
      </c>
      <c r="K69" s="47" t="str">
        <f t="shared" si="1"/>
        <v/>
      </c>
    </row>
    <row r="70" spans="1:11" x14ac:dyDescent="0.25">
      <c r="A70" t="s">
        <v>78</v>
      </c>
      <c r="B70" s="48">
        <v>45680</v>
      </c>
      <c r="C70" t="s">
        <v>1010</v>
      </c>
      <c r="D70" t="s">
        <v>1020</v>
      </c>
      <c r="E70" s="47">
        <v>344</v>
      </c>
      <c r="F70" s="47">
        <v>444</v>
      </c>
      <c r="G70" s="47">
        <v>152736</v>
      </c>
      <c r="H70" s="47" t="s">
        <v>1025</v>
      </c>
      <c r="I70" s="50" t="s">
        <v>1026</v>
      </c>
      <c r="J70" s="48" t="s">
        <v>1031</v>
      </c>
      <c r="K70" s="47" t="str">
        <f t="shared" si="1"/>
        <v/>
      </c>
    </row>
    <row r="71" spans="1:11" x14ac:dyDescent="0.25">
      <c r="A71" t="s">
        <v>79</v>
      </c>
      <c r="B71" s="48">
        <v>45707</v>
      </c>
      <c r="C71" t="s">
        <v>1013</v>
      </c>
      <c r="D71" t="s">
        <v>1015</v>
      </c>
      <c r="E71" s="47">
        <v>130</v>
      </c>
      <c r="F71" s="47">
        <v>1450</v>
      </c>
      <c r="G71" s="47">
        <v>188500</v>
      </c>
      <c r="H71" s="47" t="s">
        <v>1030</v>
      </c>
      <c r="I71" s="50" t="s">
        <v>1026</v>
      </c>
      <c r="J71" s="48" t="s">
        <v>1031</v>
      </c>
      <c r="K71" s="47" t="str">
        <f t="shared" si="1"/>
        <v/>
      </c>
    </row>
    <row r="72" spans="1:11" x14ac:dyDescent="0.25">
      <c r="A72" t="s">
        <v>80</v>
      </c>
      <c r="B72" s="48">
        <v>45741</v>
      </c>
      <c r="C72" t="s">
        <v>1014</v>
      </c>
      <c r="D72" t="s">
        <v>1021</v>
      </c>
      <c r="E72" s="47">
        <v>476</v>
      </c>
      <c r="F72" s="47">
        <v>457</v>
      </c>
      <c r="G72" s="47">
        <v>217532</v>
      </c>
      <c r="H72" s="47" t="s">
        <v>1025</v>
      </c>
      <c r="I72" s="50" t="s">
        <v>1028</v>
      </c>
      <c r="J72" s="48">
        <v>45748</v>
      </c>
      <c r="K72" s="47">
        <f t="shared" si="1"/>
        <v>7</v>
      </c>
    </row>
    <row r="73" spans="1:11" x14ac:dyDescent="0.25">
      <c r="A73" t="s">
        <v>81</v>
      </c>
      <c r="B73" s="48">
        <v>45730</v>
      </c>
      <c r="C73" t="s">
        <v>1010</v>
      </c>
      <c r="D73" t="s">
        <v>1024</v>
      </c>
      <c r="E73" s="47">
        <v>82</v>
      </c>
      <c r="F73" s="47">
        <v>38</v>
      </c>
      <c r="G73" s="47">
        <v>3116</v>
      </c>
      <c r="H73" s="47" t="s">
        <v>1027</v>
      </c>
      <c r="I73" s="50" t="s">
        <v>1029</v>
      </c>
      <c r="J73" s="48" t="s">
        <v>1031</v>
      </c>
      <c r="K73" s="47" t="str">
        <f t="shared" si="1"/>
        <v/>
      </c>
    </row>
    <row r="74" spans="1:11" x14ac:dyDescent="0.25">
      <c r="A74" t="s">
        <v>82</v>
      </c>
      <c r="B74" s="48">
        <v>45756</v>
      </c>
      <c r="C74" t="s">
        <v>1013</v>
      </c>
      <c r="D74" t="s">
        <v>1024</v>
      </c>
      <c r="E74" s="47">
        <v>154</v>
      </c>
      <c r="F74" s="47">
        <v>1184</v>
      </c>
      <c r="G74" s="47">
        <v>182336</v>
      </c>
      <c r="H74" s="47" t="s">
        <v>1030</v>
      </c>
      <c r="I74" s="50" t="s">
        <v>1026</v>
      </c>
      <c r="J74" s="48" t="s">
        <v>1031</v>
      </c>
      <c r="K74" s="47" t="str">
        <f t="shared" si="1"/>
        <v/>
      </c>
    </row>
    <row r="75" spans="1:11" x14ac:dyDescent="0.25">
      <c r="A75" t="s">
        <v>83</v>
      </c>
      <c r="B75" s="48">
        <v>45982</v>
      </c>
      <c r="C75" t="s">
        <v>1010</v>
      </c>
      <c r="D75" t="s">
        <v>1021</v>
      </c>
      <c r="E75" s="47">
        <v>335</v>
      </c>
      <c r="F75" s="47">
        <v>905</v>
      </c>
      <c r="G75" s="47">
        <v>303175</v>
      </c>
      <c r="H75" s="47" t="s">
        <v>1030</v>
      </c>
      <c r="I75" s="50" t="s">
        <v>1028</v>
      </c>
      <c r="J75" s="48">
        <v>45995</v>
      </c>
      <c r="K75" s="47">
        <f t="shared" si="1"/>
        <v>13</v>
      </c>
    </row>
    <row r="76" spans="1:11" x14ac:dyDescent="0.25">
      <c r="A76" t="s">
        <v>84</v>
      </c>
      <c r="B76" s="48">
        <v>45705</v>
      </c>
      <c r="C76" t="s">
        <v>1011</v>
      </c>
      <c r="D76" t="s">
        <v>1024</v>
      </c>
      <c r="E76" s="47">
        <v>303</v>
      </c>
      <c r="F76" s="47">
        <v>1037</v>
      </c>
      <c r="G76" s="47">
        <v>314211</v>
      </c>
      <c r="H76" s="47" t="s">
        <v>1027</v>
      </c>
      <c r="I76" s="50" t="s">
        <v>1028</v>
      </c>
      <c r="J76" s="48">
        <v>45718</v>
      </c>
      <c r="K76" s="47">
        <f t="shared" si="1"/>
        <v>13</v>
      </c>
    </row>
    <row r="77" spans="1:11" x14ac:dyDescent="0.25">
      <c r="A77" t="s">
        <v>85</v>
      </c>
      <c r="B77" s="48">
        <v>45741</v>
      </c>
      <c r="C77" t="s">
        <v>1013</v>
      </c>
      <c r="D77" t="s">
        <v>1020</v>
      </c>
      <c r="E77" s="47">
        <v>354</v>
      </c>
      <c r="F77" s="47">
        <v>156</v>
      </c>
      <c r="G77" s="47">
        <v>55224</v>
      </c>
      <c r="H77" s="47" t="s">
        <v>1027</v>
      </c>
      <c r="I77" s="50" t="s">
        <v>1029</v>
      </c>
      <c r="J77" s="48" t="s">
        <v>1031</v>
      </c>
      <c r="K77" s="47" t="str">
        <f t="shared" si="1"/>
        <v/>
      </c>
    </row>
    <row r="78" spans="1:11" x14ac:dyDescent="0.25">
      <c r="A78" t="s">
        <v>86</v>
      </c>
      <c r="B78" s="48">
        <v>45814</v>
      </c>
      <c r="C78" t="s">
        <v>1012</v>
      </c>
      <c r="D78" t="s">
        <v>1019</v>
      </c>
      <c r="E78" s="47">
        <v>74</v>
      </c>
      <c r="F78" s="47">
        <v>409</v>
      </c>
      <c r="G78" s="47">
        <v>30266</v>
      </c>
      <c r="H78" s="47" t="s">
        <v>1025</v>
      </c>
      <c r="I78" s="50" t="s">
        <v>1026</v>
      </c>
      <c r="J78" s="48" t="s">
        <v>1031</v>
      </c>
      <c r="K78" s="47" t="str">
        <f t="shared" si="1"/>
        <v/>
      </c>
    </row>
    <row r="79" spans="1:11" x14ac:dyDescent="0.25">
      <c r="A79" t="s">
        <v>87</v>
      </c>
      <c r="B79" s="48">
        <v>45962</v>
      </c>
      <c r="C79" t="s">
        <v>1010</v>
      </c>
      <c r="D79" t="s">
        <v>1018</v>
      </c>
      <c r="E79" s="47">
        <v>97</v>
      </c>
      <c r="F79" s="47">
        <v>669</v>
      </c>
      <c r="G79" s="47">
        <v>64893</v>
      </c>
      <c r="H79" s="47" t="s">
        <v>1030</v>
      </c>
      <c r="I79" s="50" t="s">
        <v>1026</v>
      </c>
      <c r="J79" s="48" t="s">
        <v>1031</v>
      </c>
      <c r="K79" s="47" t="str">
        <f t="shared" si="1"/>
        <v/>
      </c>
    </row>
    <row r="80" spans="1:11" x14ac:dyDescent="0.25">
      <c r="A80" t="s">
        <v>88</v>
      </c>
      <c r="B80" s="48">
        <v>45677</v>
      </c>
      <c r="C80" t="s">
        <v>1013</v>
      </c>
      <c r="D80" t="s">
        <v>1023</v>
      </c>
      <c r="E80" s="47">
        <v>361</v>
      </c>
      <c r="F80" s="47">
        <v>1470</v>
      </c>
      <c r="G80" s="47">
        <v>530670</v>
      </c>
      <c r="H80" s="47" t="s">
        <v>1030</v>
      </c>
      <c r="I80" s="50" t="s">
        <v>1026</v>
      </c>
      <c r="J80" s="48" t="s">
        <v>1031</v>
      </c>
      <c r="K80" s="47" t="str">
        <f t="shared" si="1"/>
        <v/>
      </c>
    </row>
    <row r="81" spans="1:11" x14ac:dyDescent="0.25">
      <c r="A81" t="s">
        <v>89</v>
      </c>
      <c r="B81" s="48">
        <v>45859</v>
      </c>
      <c r="C81" t="s">
        <v>1013</v>
      </c>
      <c r="D81" t="s">
        <v>1018</v>
      </c>
      <c r="E81" s="47">
        <v>197</v>
      </c>
      <c r="F81" s="47">
        <v>1168</v>
      </c>
      <c r="G81" s="47">
        <v>230096</v>
      </c>
      <c r="H81" s="47" t="s">
        <v>1025</v>
      </c>
      <c r="I81" s="50" t="s">
        <v>1026</v>
      </c>
      <c r="J81" s="48" t="s">
        <v>1031</v>
      </c>
      <c r="K81" s="47" t="str">
        <f t="shared" si="1"/>
        <v/>
      </c>
    </row>
    <row r="82" spans="1:11" x14ac:dyDescent="0.25">
      <c r="A82" t="s">
        <v>90</v>
      </c>
      <c r="B82" s="48">
        <v>45790</v>
      </c>
      <c r="C82" t="s">
        <v>1011</v>
      </c>
      <c r="D82" t="s">
        <v>1018</v>
      </c>
      <c r="E82" s="47">
        <v>181</v>
      </c>
      <c r="F82" s="47">
        <v>665</v>
      </c>
      <c r="G82" s="47">
        <v>120365</v>
      </c>
      <c r="H82" s="47" t="s">
        <v>1027</v>
      </c>
      <c r="I82" s="50" t="s">
        <v>1028</v>
      </c>
      <c r="J82" s="48">
        <v>45805</v>
      </c>
      <c r="K82" s="47">
        <f t="shared" si="1"/>
        <v>15</v>
      </c>
    </row>
    <row r="83" spans="1:11" x14ac:dyDescent="0.25">
      <c r="A83" t="s">
        <v>91</v>
      </c>
      <c r="B83" s="48">
        <v>45671</v>
      </c>
      <c r="C83" t="s">
        <v>1011</v>
      </c>
      <c r="D83" t="s">
        <v>1018</v>
      </c>
      <c r="E83" s="47">
        <v>124</v>
      </c>
      <c r="F83" s="47">
        <v>1585</v>
      </c>
      <c r="G83" s="47">
        <v>196540</v>
      </c>
      <c r="H83" s="47" t="s">
        <v>1030</v>
      </c>
      <c r="I83" s="50" t="s">
        <v>1026</v>
      </c>
      <c r="J83" s="48" t="s">
        <v>1031</v>
      </c>
      <c r="K83" s="47" t="str">
        <f t="shared" si="1"/>
        <v/>
      </c>
    </row>
    <row r="84" spans="1:11" x14ac:dyDescent="0.25">
      <c r="A84" t="s">
        <v>92</v>
      </c>
      <c r="B84" s="48">
        <v>45740</v>
      </c>
      <c r="C84" t="s">
        <v>1013</v>
      </c>
      <c r="D84" t="s">
        <v>1018</v>
      </c>
      <c r="E84" s="47">
        <v>283</v>
      </c>
      <c r="F84" s="47">
        <v>1463</v>
      </c>
      <c r="G84" s="47">
        <v>414029</v>
      </c>
      <c r="H84" s="47" t="s">
        <v>1025</v>
      </c>
      <c r="I84" s="50" t="s">
        <v>1026</v>
      </c>
      <c r="J84" s="48" t="s">
        <v>1031</v>
      </c>
      <c r="K84" s="47" t="str">
        <f t="shared" si="1"/>
        <v/>
      </c>
    </row>
    <row r="85" spans="1:11" x14ac:dyDescent="0.25">
      <c r="A85" t="s">
        <v>93</v>
      </c>
      <c r="B85" s="48">
        <v>45704</v>
      </c>
      <c r="C85" t="s">
        <v>1010</v>
      </c>
      <c r="D85" t="s">
        <v>1015</v>
      </c>
      <c r="E85" s="47">
        <v>44</v>
      </c>
      <c r="F85" s="47">
        <v>811</v>
      </c>
      <c r="G85" s="47">
        <v>35684</v>
      </c>
      <c r="H85" s="47" t="s">
        <v>1027</v>
      </c>
      <c r="I85" s="50" t="s">
        <v>1029</v>
      </c>
      <c r="J85" s="48" t="s">
        <v>1031</v>
      </c>
      <c r="K85" s="47" t="str">
        <f t="shared" si="1"/>
        <v/>
      </c>
    </row>
    <row r="86" spans="1:11" x14ac:dyDescent="0.25">
      <c r="A86" t="s">
        <v>94</v>
      </c>
      <c r="B86" s="48">
        <v>45769</v>
      </c>
      <c r="C86" t="s">
        <v>1010</v>
      </c>
      <c r="D86" t="s">
        <v>1017</v>
      </c>
      <c r="E86" s="47">
        <v>108</v>
      </c>
      <c r="F86" s="47">
        <v>1568</v>
      </c>
      <c r="G86" s="47">
        <v>169344</v>
      </c>
      <c r="H86" s="47" t="s">
        <v>1027</v>
      </c>
      <c r="I86" s="50" t="s">
        <v>1026</v>
      </c>
      <c r="J86" s="48" t="s">
        <v>1031</v>
      </c>
      <c r="K86" s="47" t="str">
        <f t="shared" si="1"/>
        <v/>
      </c>
    </row>
    <row r="87" spans="1:11" x14ac:dyDescent="0.25">
      <c r="A87" t="s">
        <v>95</v>
      </c>
      <c r="B87" s="48">
        <v>46048</v>
      </c>
      <c r="C87" t="s">
        <v>1011</v>
      </c>
      <c r="D87" t="s">
        <v>1018</v>
      </c>
      <c r="E87" s="47">
        <v>157</v>
      </c>
      <c r="F87" s="47">
        <v>1899</v>
      </c>
      <c r="G87" s="47">
        <v>298143</v>
      </c>
      <c r="H87" s="47" t="s">
        <v>1030</v>
      </c>
      <c r="I87" s="50" t="s">
        <v>1029</v>
      </c>
      <c r="J87" s="48" t="s">
        <v>1031</v>
      </c>
      <c r="K87" s="47" t="str">
        <f t="shared" si="1"/>
        <v/>
      </c>
    </row>
    <row r="88" spans="1:11" x14ac:dyDescent="0.25">
      <c r="A88" t="s">
        <v>96</v>
      </c>
      <c r="B88" s="48">
        <v>45810</v>
      </c>
      <c r="C88" t="s">
        <v>1014</v>
      </c>
      <c r="D88" t="s">
        <v>1016</v>
      </c>
      <c r="E88" s="47">
        <v>85</v>
      </c>
      <c r="F88" s="47">
        <v>62</v>
      </c>
      <c r="G88" s="47">
        <v>5270</v>
      </c>
      <c r="H88" s="47" t="s">
        <v>1030</v>
      </c>
      <c r="I88" s="50" t="s">
        <v>1029</v>
      </c>
      <c r="J88" s="48" t="s">
        <v>1031</v>
      </c>
      <c r="K88" s="47" t="str">
        <f t="shared" si="1"/>
        <v/>
      </c>
    </row>
    <row r="89" spans="1:11" x14ac:dyDescent="0.25">
      <c r="A89" t="s">
        <v>97</v>
      </c>
      <c r="B89" s="48">
        <v>45916</v>
      </c>
      <c r="C89" t="s">
        <v>1013</v>
      </c>
      <c r="D89" t="s">
        <v>1019</v>
      </c>
      <c r="E89" s="47">
        <v>157</v>
      </c>
      <c r="F89" s="47">
        <v>1709</v>
      </c>
      <c r="G89" s="47">
        <v>268313</v>
      </c>
      <c r="H89" s="47" t="s">
        <v>1027</v>
      </c>
      <c r="I89" s="50" t="s">
        <v>1029</v>
      </c>
      <c r="J89" s="48" t="s">
        <v>1031</v>
      </c>
      <c r="K89" s="47" t="str">
        <f t="shared" si="1"/>
        <v/>
      </c>
    </row>
    <row r="90" spans="1:11" x14ac:dyDescent="0.25">
      <c r="A90" t="s">
        <v>98</v>
      </c>
      <c r="B90" s="48">
        <v>45999</v>
      </c>
      <c r="C90" t="s">
        <v>1012</v>
      </c>
      <c r="D90" t="s">
        <v>1021</v>
      </c>
      <c r="E90" s="47">
        <v>254</v>
      </c>
      <c r="F90" s="47">
        <v>1260</v>
      </c>
      <c r="G90" s="47">
        <v>320040</v>
      </c>
      <c r="H90" s="47" t="s">
        <v>1027</v>
      </c>
      <c r="I90" s="50" t="s">
        <v>1029</v>
      </c>
      <c r="J90" s="48" t="s">
        <v>1031</v>
      </c>
      <c r="K90" s="47" t="str">
        <f t="shared" si="1"/>
        <v/>
      </c>
    </row>
    <row r="91" spans="1:11" x14ac:dyDescent="0.25">
      <c r="A91" t="s">
        <v>99</v>
      </c>
      <c r="B91" s="48">
        <v>45768</v>
      </c>
      <c r="C91" t="s">
        <v>1012</v>
      </c>
      <c r="D91" t="s">
        <v>1023</v>
      </c>
      <c r="E91" s="47">
        <v>365</v>
      </c>
      <c r="F91" s="47">
        <v>1204</v>
      </c>
      <c r="G91" s="47">
        <v>439460</v>
      </c>
      <c r="H91" s="47" t="s">
        <v>1027</v>
      </c>
      <c r="I91" s="50" t="s">
        <v>1026</v>
      </c>
      <c r="J91" s="48" t="s">
        <v>1031</v>
      </c>
      <c r="K91" s="47" t="str">
        <f t="shared" si="1"/>
        <v/>
      </c>
    </row>
    <row r="92" spans="1:11" x14ac:dyDescent="0.25">
      <c r="A92" t="s">
        <v>100</v>
      </c>
      <c r="B92" s="48">
        <v>45717</v>
      </c>
      <c r="C92" t="s">
        <v>1014</v>
      </c>
      <c r="D92" t="s">
        <v>1023</v>
      </c>
      <c r="E92" s="47">
        <v>363</v>
      </c>
      <c r="F92" s="47">
        <v>1496</v>
      </c>
      <c r="G92" s="47">
        <v>543048</v>
      </c>
      <c r="H92" s="47" t="s">
        <v>1030</v>
      </c>
      <c r="I92" s="50" t="s">
        <v>1029</v>
      </c>
      <c r="J92" s="48" t="s">
        <v>1031</v>
      </c>
      <c r="K92" s="47" t="str">
        <f t="shared" si="1"/>
        <v/>
      </c>
    </row>
    <row r="93" spans="1:11" x14ac:dyDescent="0.25">
      <c r="A93" t="s">
        <v>101</v>
      </c>
      <c r="B93" s="48">
        <v>45938</v>
      </c>
      <c r="C93" t="s">
        <v>1012</v>
      </c>
      <c r="D93" t="s">
        <v>1020</v>
      </c>
      <c r="E93" s="47">
        <v>119</v>
      </c>
      <c r="F93" s="47">
        <v>50</v>
      </c>
      <c r="G93" s="47">
        <v>5950</v>
      </c>
      <c r="H93" s="47" t="s">
        <v>1025</v>
      </c>
      <c r="I93" s="50" t="s">
        <v>1028</v>
      </c>
      <c r="J93" s="48">
        <v>45943</v>
      </c>
      <c r="K93" s="47">
        <f t="shared" si="1"/>
        <v>5</v>
      </c>
    </row>
    <row r="94" spans="1:11" x14ac:dyDescent="0.25">
      <c r="A94" t="s">
        <v>102</v>
      </c>
      <c r="B94" s="48">
        <v>45940</v>
      </c>
      <c r="C94" t="s">
        <v>1014</v>
      </c>
      <c r="D94" t="s">
        <v>1023</v>
      </c>
      <c r="E94" s="47">
        <v>31</v>
      </c>
      <c r="F94" s="47">
        <v>855</v>
      </c>
      <c r="G94" s="47">
        <v>26505</v>
      </c>
      <c r="H94" s="47" t="s">
        <v>1025</v>
      </c>
      <c r="I94" s="50" t="s">
        <v>1028</v>
      </c>
      <c r="J94" s="48">
        <v>45945</v>
      </c>
      <c r="K94" s="47">
        <f t="shared" si="1"/>
        <v>5</v>
      </c>
    </row>
    <row r="95" spans="1:11" x14ac:dyDescent="0.25">
      <c r="A95" t="s">
        <v>103</v>
      </c>
      <c r="B95" s="48">
        <v>45971</v>
      </c>
      <c r="C95" t="s">
        <v>1013</v>
      </c>
      <c r="D95" t="s">
        <v>1017</v>
      </c>
      <c r="E95" s="47">
        <v>344</v>
      </c>
      <c r="F95" s="47">
        <v>929</v>
      </c>
      <c r="G95" s="47">
        <v>319576</v>
      </c>
      <c r="H95" s="47" t="s">
        <v>1030</v>
      </c>
      <c r="I95" s="50" t="s">
        <v>1029</v>
      </c>
      <c r="J95" s="48" t="s">
        <v>1031</v>
      </c>
      <c r="K95" s="47" t="str">
        <f t="shared" si="1"/>
        <v/>
      </c>
    </row>
    <row r="96" spans="1:11" x14ac:dyDescent="0.25">
      <c r="A96" t="s">
        <v>104</v>
      </c>
      <c r="B96" s="48">
        <v>45959</v>
      </c>
      <c r="C96" t="s">
        <v>1014</v>
      </c>
      <c r="D96" t="s">
        <v>1020</v>
      </c>
      <c r="E96" s="47">
        <v>70</v>
      </c>
      <c r="F96" s="47">
        <v>378</v>
      </c>
      <c r="G96" s="47">
        <v>26460</v>
      </c>
      <c r="H96" s="47" t="s">
        <v>1025</v>
      </c>
      <c r="I96" s="50" t="s">
        <v>1026</v>
      </c>
      <c r="J96" s="48" t="s">
        <v>1031</v>
      </c>
      <c r="K96" s="47" t="str">
        <f t="shared" si="1"/>
        <v/>
      </c>
    </row>
    <row r="97" spans="1:11" x14ac:dyDescent="0.25">
      <c r="A97" t="s">
        <v>105</v>
      </c>
      <c r="B97" s="48">
        <v>45711</v>
      </c>
      <c r="C97" t="s">
        <v>1013</v>
      </c>
      <c r="D97" t="s">
        <v>1015</v>
      </c>
      <c r="E97" s="47">
        <v>125</v>
      </c>
      <c r="F97" s="47">
        <v>158</v>
      </c>
      <c r="G97" s="47">
        <v>19750</v>
      </c>
      <c r="H97" s="47" t="s">
        <v>1027</v>
      </c>
      <c r="I97" s="50" t="s">
        <v>1028</v>
      </c>
      <c r="J97" s="48">
        <v>45725</v>
      </c>
      <c r="K97" s="47">
        <f t="shared" si="1"/>
        <v>14</v>
      </c>
    </row>
    <row r="98" spans="1:11" x14ac:dyDescent="0.25">
      <c r="A98" t="s">
        <v>106</v>
      </c>
      <c r="B98" s="48">
        <v>45897</v>
      </c>
      <c r="C98" t="s">
        <v>1014</v>
      </c>
      <c r="D98" t="s">
        <v>1024</v>
      </c>
      <c r="E98" s="47">
        <v>1</v>
      </c>
      <c r="F98" s="47">
        <v>1427</v>
      </c>
      <c r="G98" s="47">
        <v>1427</v>
      </c>
      <c r="H98" s="47" t="s">
        <v>1030</v>
      </c>
      <c r="I98" s="50" t="s">
        <v>1028</v>
      </c>
      <c r="J98" s="48">
        <v>45906</v>
      </c>
      <c r="K98" s="47">
        <f t="shared" si="1"/>
        <v>9</v>
      </c>
    </row>
    <row r="99" spans="1:11" x14ac:dyDescent="0.25">
      <c r="A99" t="s">
        <v>107</v>
      </c>
      <c r="B99" s="48">
        <v>45838</v>
      </c>
      <c r="C99" t="s">
        <v>1014</v>
      </c>
      <c r="D99" t="s">
        <v>1021</v>
      </c>
      <c r="E99" s="47">
        <v>478</v>
      </c>
      <c r="F99" s="47">
        <v>1030</v>
      </c>
      <c r="G99" s="47">
        <v>492340</v>
      </c>
      <c r="H99" s="47" t="s">
        <v>1027</v>
      </c>
      <c r="I99" s="50" t="s">
        <v>1029</v>
      </c>
      <c r="J99" s="48" t="s">
        <v>1031</v>
      </c>
      <c r="K99" s="47" t="str">
        <f t="shared" si="1"/>
        <v/>
      </c>
    </row>
    <row r="100" spans="1:11" x14ac:dyDescent="0.25">
      <c r="A100" t="s">
        <v>108</v>
      </c>
      <c r="B100" s="48">
        <v>45784</v>
      </c>
      <c r="C100" t="s">
        <v>1014</v>
      </c>
      <c r="D100" t="s">
        <v>1018</v>
      </c>
      <c r="E100" s="47">
        <v>328</v>
      </c>
      <c r="F100" s="47">
        <v>1337</v>
      </c>
      <c r="G100" s="47">
        <v>438536</v>
      </c>
      <c r="H100" s="47" t="s">
        <v>1027</v>
      </c>
      <c r="I100" s="50" t="s">
        <v>1028</v>
      </c>
      <c r="J100" s="48">
        <v>45795</v>
      </c>
      <c r="K100" s="47">
        <f t="shared" si="1"/>
        <v>11</v>
      </c>
    </row>
    <row r="101" spans="1:11" x14ac:dyDescent="0.25">
      <c r="A101" t="s">
        <v>109</v>
      </c>
      <c r="B101" s="48">
        <v>46040</v>
      </c>
      <c r="C101" t="s">
        <v>1011</v>
      </c>
      <c r="D101" t="s">
        <v>1024</v>
      </c>
      <c r="E101" s="47">
        <v>198</v>
      </c>
      <c r="F101" s="47">
        <v>1153</v>
      </c>
      <c r="G101" s="47">
        <v>228294</v>
      </c>
      <c r="H101" s="47" t="s">
        <v>1030</v>
      </c>
      <c r="I101" s="50" t="s">
        <v>1028</v>
      </c>
      <c r="J101" s="48">
        <v>46047</v>
      </c>
      <c r="K101" s="47">
        <f t="shared" si="1"/>
        <v>7</v>
      </c>
    </row>
    <row r="102" spans="1:11" x14ac:dyDescent="0.25">
      <c r="A102" t="s">
        <v>110</v>
      </c>
      <c r="B102" s="48">
        <v>45970</v>
      </c>
      <c r="C102" t="s">
        <v>1011</v>
      </c>
      <c r="D102" t="s">
        <v>1018</v>
      </c>
      <c r="E102" s="47">
        <v>472</v>
      </c>
      <c r="F102" s="47">
        <v>79</v>
      </c>
      <c r="G102" s="47">
        <v>37288</v>
      </c>
      <c r="H102" s="47" t="s">
        <v>1030</v>
      </c>
      <c r="I102" s="50" t="s">
        <v>1028</v>
      </c>
      <c r="J102" s="48">
        <v>45980</v>
      </c>
      <c r="K102" s="47">
        <f t="shared" si="1"/>
        <v>10</v>
      </c>
    </row>
    <row r="103" spans="1:11" x14ac:dyDescent="0.25">
      <c r="A103" t="s">
        <v>111</v>
      </c>
      <c r="B103" s="48">
        <v>45847</v>
      </c>
      <c r="C103" t="s">
        <v>1012</v>
      </c>
      <c r="D103" t="s">
        <v>1023</v>
      </c>
      <c r="E103" s="47">
        <v>58</v>
      </c>
      <c r="F103" s="47">
        <v>128</v>
      </c>
      <c r="G103" s="47">
        <v>7424</v>
      </c>
      <c r="H103" s="47" t="s">
        <v>1025</v>
      </c>
      <c r="I103" s="50" t="s">
        <v>1028</v>
      </c>
      <c r="J103" s="48">
        <v>45854</v>
      </c>
      <c r="K103" s="47">
        <f t="shared" si="1"/>
        <v>7</v>
      </c>
    </row>
    <row r="104" spans="1:11" x14ac:dyDescent="0.25">
      <c r="A104" t="s">
        <v>112</v>
      </c>
      <c r="B104" s="48">
        <v>45739</v>
      </c>
      <c r="C104" t="s">
        <v>1011</v>
      </c>
      <c r="D104" t="s">
        <v>1022</v>
      </c>
      <c r="E104" s="47">
        <v>181</v>
      </c>
      <c r="F104" s="47">
        <v>419</v>
      </c>
      <c r="G104" s="47">
        <v>75839</v>
      </c>
      <c r="H104" s="47" t="s">
        <v>1025</v>
      </c>
      <c r="I104" s="50" t="s">
        <v>1028</v>
      </c>
      <c r="J104" s="48">
        <v>45750</v>
      </c>
      <c r="K104" s="47">
        <f t="shared" si="1"/>
        <v>11</v>
      </c>
    </row>
    <row r="105" spans="1:11" x14ac:dyDescent="0.25">
      <c r="A105" t="s">
        <v>113</v>
      </c>
      <c r="B105" s="48">
        <v>45662</v>
      </c>
      <c r="C105" t="s">
        <v>1013</v>
      </c>
      <c r="D105" t="s">
        <v>1016</v>
      </c>
      <c r="E105" s="47">
        <v>11</v>
      </c>
      <c r="F105" s="47">
        <v>183</v>
      </c>
      <c r="G105" s="47">
        <v>2013</v>
      </c>
      <c r="H105" s="47" t="s">
        <v>1027</v>
      </c>
      <c r="I105" s="50" t="s">
        <v>1028</v>
      </c>
      <c r="J105" s="48">
        <v>45674</v>
      </c>
      <c r="K105" s="47">
        <f t="shared" si="1"/>
        <v>12</v>
      </c>
    </row>
    <row r="106" spans="1:11" x14ac:dyDescent="0.25">
      <c r="A106" t="s">
        <v>114</v>
      </c>
      <c r="B106" s="48">
        <v>45880</v>
      </c>
      <c r="C106" t="s">
        <v>1011</v>
      </c>
      <c r="D106" t="s">
        <v>1019</v>
      </c>
      <c r="E106" s="47">
        <v>211</v>
      </c>
      <c r="F106" s="47">
        <v>1587</v>
      </c>
      <c r="G106" s="47">
        <v>334857</v>
      </c>
      <c r="H106" s="47" t="s">
        <v>1030</v>
      </c>
      <c r="I106" s="50" t="s">
        <v>1029</v>
      </c>
      <c r="J106" s="48" t="s">
        <v>1031</v>
      </c>
      <c r="K106" s="47" t="str">
        <f t="shared" si="1"/>
        <v/>
      </c>
    </row>
    <row r="107" spans="1:11" x14ac:dyDescent="0.25">
      <c r="A107" t="s">
        <v>115</v>
      </c>
      <c r="B107" s="48">
        <v>46024</v>
      </c>
      <c r="C107" t="s">
        <v>1012</v>
      </c>
      <c r="D107" t="s">
        <v>1023</v>
      </c>
      <c r="E107" s="47">
        <v>92</v>
      </c>
      <c r="F107" s="47">
        <v>661</v>
      </c>
      <c r="G107" s="47">
        <v>60812</v>
      </c>
      <c r="H107" s="47" t="s">
        <v>1025</v>
      </c>
      <c r="I107" s="50" t="s">
        <v>1026</v>
      </c>
      <c r="J107" s="48" t="s">
        <v>1031</v>
      </c>
      <c r="K107" s="47" t="str">
        <f t="shared" si="1"/>
        <v/>
      </c>
    </row>
    <row r="108" spans="1:11" x14ac:dyDescent="0.25">
      <c r="A108" t="s">
        <v>116</v>
      </c>
      <c r="B108" s="48">
        <v>45933</v>
      </c>
      <c r="C108" t="s">
        <v>1011</v>
      </c>
      <c r="D108" t="s">
        <v>1015</v>
      </c>
      <c r="E108" s="47">
        <v>116</v>
      </c>
      <c r="F108" s="47">
        <v>96</v>
      </c>
      <c r="G108" s="47">
        <v>11136</v>
      </c>
      <c r="H108" s="47" t="s">
        <v>1027</v>
      </c>
      <c r="I108" s="50" t="s">
        <v>1029</v>
      </c>
      <c r="J108" s="48" t="s">
        <v>1031</v>
      </c>
      <c r="K108" s="47" t="str">
        <f t="shared" si="1"/>
        <v/>
      </c>
    </row>
    <row r="109" spans="1:11" x14ac:dyDescent="0.25">
      <c r="A109" t="s">
        <v>117</v>
      </c>
      <c r="B109" s="48">
        <v>45960</v>
      </c>
      <c r="C109" t="s">
        <v>1013</v>
      </c>
      <c r="D109" t="s">
        <v>1024</v>
      </c>
      <c r="E109" s="47">
        <v>214</v>
      </c>
      <c r="F109" s="47">
        <v>1501</v>
      </c>
      <c r="G109" s="47">
        <v>321214</v>
      </c>
      <c r="H109" s="47" t="s">
        <v>1030</v>
      </c>
      <c r="I109" s="50" t="s">
        <v>1029</v>
      </c>
      <c r="J109" s="48" t="s">
        <v>1031</v>
      </c>
      <c r="K109" s="47" t="str">
        <f t="shared" si="1"/>
        <v/>
      </c>
    </row>
    <row r="110" spans="1:11" x14ac:dyDescent="0.25">
      <c r="A110" t="s">
        <v>118</v>
      </c>
      <c r="B110" s="48">
        <v>46016</v>
      </c>
      <c r="C110" t="s">
        <v>1010</v>
      </c>
      <c r="D110" t="s">
        <v>1021</v>
      </c>
      <c r="E110" s="47">
        <v>15</v>
      </c>
      <c r="F110" s="47">
        <v>1160</v>
      </c>
      <c r="G110" s="47">
        <v>17400</v>
      </c>
      <c r="H110" s="47" t="s">
        <v>1025</v>
      </c>
      <c r="I110" s="50" t="s">
        <v>1029</v>
      </c>
      <c r="J110" s="48" t="s">
        <v>1031</v>
      </c>
      <c r="K110" s="47" t="str">
        <f t="shared" si="1"/>
        <v/>
      </c>
    </row>
    <row r="111" spans="1:11" x14ac:dyDescent="0.25">
      <c r="A111" t="s">
        <v>119</v>
      </c>
      <c r="B111" s="48">
        <v>45667</v>
      </c>
      <c r="C111" t="s">
        <v>1012</v>
      </c>
      <c r="D111" t="s">
        <v>1023</v>
      </c>
      <c r="E111" s="47">
        <v>62</v>
      </c>
      <c r="F111" s="47">
        <v>993</v>
      </c>
      <c r="G111" s="47">
        <v>61566</v>
      </c>
      <c r="H111" s="47" t="s">
        <v>1025</v>
      </c>
      <c r="I111" s="50" t="s">
        <v>1029</v>
      </c>
      <c r="J111" s="48" t="s">
        <v>1031</v>
      </c>
      <c r="K111" s="47" t="str">
        <f t="shared" si="1"/>
        <v/>
      </c>
    </row>
    <row r="112" spans="1:11" x14ac:dyDescent="0.25">
      <c r="A112" t="s">
        <v>120</v>
      </c>
      <c r="B112" s="48">
        <v>45874</v>
      </c>
      <c r="C112" t="s">
        <v>1010</v>
      </c>
      <c r="D112" t="s">
        <v>1018</v>
      </c>
      <c r="E112" s="47">
        <v>345</v>
      </c>
      <c r="F112" s="47">
        <v>844</v>
      </c>
      <c r="G112" s="47">
        <v>291180</v>
      </c>
      <c r="H112" s="47" t="s">
        <v>1025</v>
      </c>
      <c r="I112" s="50" t="s">
        <v>1026</v>
      </c>
      <c r="J112" s="48" t="s">
        <v>1031</v>
      </c>
      <c r="K112" s="47" t="str">
        <f t="shared" si="1"/>
        <v/>
      </c>
    </row>
    <row r="113" spans="1:11" x14ac:dyDescent="0.25">
      <c r="A113" t="s">
        <v>121</v>
      </c>
      <c r="B113" s="48">
        <v>46018</v>
      </c>
      <c r="C113" t="s">
        <v>1010</v>
      </c>
      <c r="D113" t="s">
        <v>1020</v>
      </c>
      <c r="E113" s="47">
        <v>454</v>
      </c>
      <c r="F113" s="47">
        <v>855</v>
      </c>
      <c r="G113" s="47">
        <v>388170</v>
      </c>
      <c r="H113" s="47" t="s">
        <v>1027</v>
      </c>
      <c r="I113" s="50" t="s">
        <v>1029</v>
      </c>
      <c r="J113" s="48" t="s">
        <v>1031</v>
      </c>
      <c r="K113" s="47" t="str">
        <f t="shared" si="1"/>
        <v/>
      </c>
    </row>
    <row r="114" spans="1:11" x14ac:dyDescent="0.25">
      <c r="A114" t="s">
        <v>122</v>
      </c>
      <c r="B114" s="48">
        <v>46043</v>
      </c>
      <c r="C114" t="s">
        <v>1013</v>
      </c>
      <c r="D114" t="s">
        <v>1024</v>
      </c>
      <c r="E114" s="47">
        <v>399</v>
      </c>
      <c r="F114" s="47">
        <v>418</v>
      </c>
      <c r="G114" s="47">
        <v>166782</v>
      </c>
      <c r="H114" s="47" t="s">
        <v>1027</v>
      </c>
      <c r="I114" s="50" t="s">
        <v>1029</v>
      </c>
      <c r="J114" s="48" t="s">
        <v>1031</v>
      </c>
      <c r="K114" s="47" t="str">
        <f t="shared" si="1"/>
        <v/>
      </c>
    </row>
    <row r="115" spans="1:11" x14ac:dyDescent="0.25">
      <c r="A115" t="s">
        <v>123</v>
      </c>
      <c r="B115" s="48">
        <v>46035</v>
      </c>
      <c r="C115" t="s">
        <v>1014</v>
      </c>
      <c r="D115" t="s">
        <v>1017</v>
      </c>
      <c r="E115" s="47">
        <v>420</v>
      </c>
      <c r="F115" s="47">
        <v>1361</v>
      </c>
      <c r="G115" s="47">
        <v>571620</v>
      </c>
      <c r="H115" s="47" t="s">
        <v>1025</v>
      </c>
      <c r="I115" s="50" t="s">
        <v>1029</v>
      </c>
      <c r="J115" s="48" t="s">
        <v>1031</v>
      </c>
      <c r="K115" s="47" t="str">
        <f t="shared" si="1"/>
        <v/>
      </c>
    </row>
    <row r="116" spans="1:11" x14ac:dyDescent="0.25">
      <c r="A116" t="s">
        <v>124</v>
      </c>
      <c r="B116" s="48">
        <v>46008</v>
      </c>
      <c r="C116" t="s">
        <v>1012</v>
      </c>
      <c r="D116" t="s">
        <v>1021</v>
      </c>
      <c r="E116" s="47">
        <v>408</v>
      </c>
      <c r="F116" s="47">
        <v>300</v>
      </c>
      <c r="G116" s="47">
        <v>122400</v>
      </c>
      <c r="H116" s="47" t="s">
        <v>1025</v>
      </c>
      <c r="I116" s="50" t="s">
        <v>1029</v>
      </c>
      <c r="J116" s="48" t="s">
        <v>1031</v>
      </c>
      <c r="K116" s="47" t="str">
        <f t="shared" si="1"/>
        <v/>
      </c>
    </row>
    <row r="117" spans="1:11" x14ac:dyDescent="0.25">
      <c r="A117" t="s">
        <v>125</v>
      </c>
      <c r="B117" s="48">
        <v>45763</v>
      </c>
      <c r="C117" t="s">
        <v>1011</v>
      </c>
      <c r="D117" t="s">
        <v>1020</v>
      </c>
      <c r="E117" s="47">
        <v>202</v>
      </c>
      <c r="F117" s="47">
        <v>504</v>
      </c>
      <c r="G117" s="47">
        <v>101808</v>
      </c>
      <c r="H117" s="47" t="s">
        <v>1030</v>
      </c>
      <c r="I117" s="50" t="s">
        <v>1026</v>
      </c>
      <c r="J117" s="48" t="s">
        <v>1031</v>
      </c>
      <c r="K117" s="47" t="str">
        <f t="shared" si="1"/>
        <v/>
      </c>
    </row>
    <row r="118" spans="1:11" x14ac:dyDescent="0.25">
      <c r="A118" t="s">
        <v>126</v>
      </c>
      <c r="B118" s="48">
        <v>45859</v>
      </c>
      <c r="C118" t="s">
        <v>1011</v>
      </c>
      <c r="D118" t="s">
        <v>1018</v>
      </c>
      <c r="E118" s="47">
        <v>166</v>
      </c>
      <c r="F118" s="47">
        <v>1133</v>
      </c>
      <c r="G118" s="47">
        <v>188078</v>
      </c>
      <c r="H118" s="47" t="s">
        <v>1025</v>
      </c>
      <c r="I118" s="50" t="s">
        <v>1028</v>
      </c>
      <c r="J118" s="48">
        <v>45866</v>
      </c>
      <c r="K118" s="47">
        <f t="shared" si="1"/>
        <v>7</v>
      </c>
    </row>
    <row r="119" spans="1:11" x14ac:dyDescent="0.25">
      <c r="A119" t="s">
        <v>127</v>
      </c>
      <c r="B119" s="48">
        <v>45680</v>
      </c>
      <c r="C119" t="s">
        <v>1012</v>
      </c>
      <c r="D119" t="s">
        <v>1021</v>
      </c>
      <c r="E119" s="47">
        <v>219</v>
      </c>
      <c r="F119" s="47">
        <v>1358</v>
      </c>
      <c r="G119" s="47">
        <v>297402</v>
      </c>
      <c r="H119" s="47" t="s">
        <v>1025</v>
      </c>
      <c r="I119" s="50" t="s">
        <v>1029</v>
      </c>
      <c r="J119" s="48" t="s">
        <v>1031</v>
      </c>
      <c r="K119" s="47" t="str">
        <f t="shared" si="1"/>
        <v/>
      </c>
    </row>
    <row r="120" spans="1:11" x14ac:dyDescent="0.25">
      <c r="A120" t="s">
        <v>128</v>
      </c>
      <c r="B120" s="48">
        <v>45785</v>
      </c>
      <c r="C120" t="s">
        <v>1010</v>
      </c>
      <c r="D120" t="s">
        <v>1021</v>
      </c>
      <c r="E120" s="47">
        <v>155</v>
      </c>
      <c r="F120" s="47">
        <v>86</v>
      </c>
      <c r="G120" s="47">
        <v>13330</v>
      </c>
      <c r="H120" s="47" t="s">
        <v>1030</v>
      </c>
      <c r="I120" s="50" t="s">
        <v>1028</v>
      </c>
      <c r="J120" s="48">
        <v>45792</v>
      </c>
      <c r="K120" s="47">
        <f t="shared" si="1"/>
        <v>7</v>
      </c>
    </row>
    <row r="121" spans="1:11" x14ac:dyDescent="0.25">
      <c r="A121" t="s">
        <v>129</v>
      </c>
      <c r="B121" s="48">
        <v>46044</v>
      </c>
      <c r="C121" t="s">
        <v>1012</v>
      </c>
      <c r="D121" t="s">
        <v>1016</v>
      </c>
      <c r="E121" s="47">
        <v>359</v>
      </c>
      <c r="F121" s="47">
        <v>1972</v>
      </c>
      <c r="G121" s="47">
        <v>707948</v>
      </c>
      <c r="H121" s="47" t="s">
        <v>1030</v>
      </c>
      <c r="I121" s="50" t="s">
        <v>1029</v>
      </c>
      <c r="J121" s="48" t="s">
        <v>1031</v>
      </c>
      <c r="K121" s="47" t="str">
        <f t="shared" si="1"/>
        <v/>
      </c>
    </row>
    <row r="122" spans="1:11" x14ac:dyDescent="0.25">
      <c r="A122" t="s">
        <v>130</v>
      </c>
      <c r="B122" s="48">
        <v>45760</v>
      </c>
      <c r="C122" t="s">
        <v>1011</v>
      </c>
      <c r="D122" t="s">
        <v>1018</v>
      </c>
      <c r="E122" s="47">
        <v>448</v>
      </c>
      <c r="F122" s="47">
        <v>1094</v>
      </c>
      <c r="G122" s="47">
        <v>490112</v>
      </c>
      <c r="H122" s="47" t="s">
        <v>1025</v>
      </c>
      <c r="I122" s="50" t="s">
        <v>1028</v>
      </c>
      <c r="J122" s="48">
        <v>45769</v>
      </c>
      <c r="K122" s="47">
        <f t="shared" si="1"/>
        <v>9</v>
      </c>
    </row>
    <row r="123" spans="1:11" x14ac:dyDescent="0.25">
      <c r="A123" t="s">
        <v>131</v>
      </c>
      <c r="B123" s="48">
        <v>46007</v>
      </c>
      <c r="C123" t="s">
        <v>1014</v>
      </c>
      <c r="D123" t="s">
        <v>1015</v>
      </c>
      <c r="E123" s="47">
        <v>305</v>
      </c>
      <c r="F123" s="47">
        <v>932</v>
      </c>
      <c r="G123" s="47">
        <v>284260</v>
      </c>
      <c r="H123" s="47" t="s">
        <v>1025</v>
      </c>
      <c r="I123" s="50" t="s">
        <v>1026</v>
      </c>
      <c r="J123" s="48" t="s">
        <v>1031</v>
      </c>
      <c r="K123" s="47" t="str">
        <f t="shared" si="1"/>
        <v/>
      </c>
    </row>
    <row r="124" spans="1:11" x14ac:dyDescent="0.25">
      <c r="A124" t="s">
        <v>132</v>
      </c>
      <c r="B124" s="48">
        <v>45835</v>
      </c>
      <c r="C124" t="s">
        <v>1014</v>
      </c>
      <c r="D124" t="s">
        <v>1018</v>
      </c>
      <c r="E124" s="47">
        <v>339</v>
      </c>
      <c r="F124" s="47">
        <v>1470</v>
      </c>
      <c r="G124" s="47">
        <v>498330</v>
      </c>
      <c r="H124" s="47" t="s">
        <v>1027</v>
      </c>
      <c r="I124" s="50" t="s">
        <v>1026</v>
      </c>
      <c r="J124" s="48" t="s">
        <v>1031</v>
      </c>
      <c r="K124" s="47" t="str">
        <f t="shared" si="1"/>
        <v/>
      </c>
    </row>
    <row r="125" spans="1:11" x14ac:dyDescent="0.25">
      <c r="A125" t="s">
        <v>133</v>
      </c>
      <c r="B125" s="48">
        <v>45984</v>
      </c>
      <c r="C125" t="s">
        <v>1012</v>
      </c>
      <c r="D125" t="s">
        <v>1024</v>
      </c>
      <c r="E125" s="47">
        <v>345</v>
      </c>
      <c r="F125" s="47">
        <v>119</v>
      </c>
      <c r="G125" s="47">
        <v>41055</v>
      </c>
      <c r="H125" s="47" t="s">
        <v>1025</v>
      </c>
      <c r="I125" s="50" t="s">
        <v>1028</v>
      </c>
      <c r="J125" s="48">
        <v>45999</v>
      </c>
      <c r="K125" s="47">
        <f t="shared" si="1"/>
        <v>15</v>
      </c>
    </row>
    <row r="126" spans="1:11" x14ac:dyDescent="0.25">
      <c r="A126" t="s">
        <v>134</v>
      </c>
      <c r="B126" s="48">
        <v>45835</v>
      </c>
      <c r="C126" t="s">
        <v>1013</v>
      </c>
      <c r="D126" t="s">
        <v>1015</v>
      </c>
      <c r="E126" s="47">
        <v>174</v>
      </c>
      <c r="F126" s="47">
        <v>457</v>
      </c>
      <c r="G126" s="47">
        <v>79518</v>
      </c>
      <c r="H126" s="47" t="s">
        <v>1025</v>
      </c>
      <c r="I126" s="50" t="s">
        <v>1028</v>
      </c>
      <c r="J126" s="48">
        <v>45840</v>
      </c>
      <c r="K126" s="47">
        <f t="shared" si="1"/>
        <v>5</v>
      </c>
    </row>
    <row r="127" spans="1:11" x14ac:dyDescent="0.25">
      <c r="A127" t="s">
        <v>135</v>
      </c>
      <c r="B127" s="48">
        <v>45667</v>
      </c>
      <c r="C127" t="s">
        <v>1014</v>
      </c>
      <c r="D127" t="s">
        <v>1020</v>
      </c>
      <c r="E127" s="47">
        <v>30</v>
      </c>
      <c r="F127" s="47">
        <v>233</v>
      </c>
      <c r="G127" s="47">
        <v>6990</v>
      </c>
      <c r="H127" s="47" t="s">
        <v>1025</v>
      </c>
      <c r="I127" s="50" t="s">
        <v>1029</v>
      </c>
      <c r="J127" s="48" t="s">
        <v>1031</v>
      </c>
      <c r="K127" s="47" t="str">
        <f t="shared" si="1"/>
        <v/>
      </c>
    </row>
    <row r="128" spans="1:11" x14ac:dyDescent="0.25">
      <c r="A128" t="s">
        <v>136</v>
      </c>
      <c r="B128" s="48">
        <v>45920</v>
      </c>
      <c r="C128" t="s">
        <v>1012</v>
      </c>
      <c r="D128" t="s">
        <v>1023</v>
      </c>
      <c r="E128" s="47">
        <v>105</v>
      </c>
      <c r="F128" s="47">
        <v>470</v>
      </c>
      <c r="G128" s="47">
        <v>49350</v>
      </c>
      <c r="H128" s="47" t="s">
        <v>1030</v>
      </c>
      <c r="I128" s="50" t="s">
        <v>1026</v>
      </c>
      <c r="J128" s="48" t="s">
        <v>1031</v>
      </c>
      <c r="K128" s="47" t="str">
        <f t="shared" si="1"/>
        <v/>
      </c>
    </row>
    <row r="129" spans="1:11" x14ac:dyDescent="0.25">
      <c r="A129" t="s">
        <v>137</v>
      </c>
      <c r="B129" s="48">
        <v>45861</v>
      </c>
      <c r="C129" t="s">
        <v>1012</v>
      </c>
      <c r="D129" t="s">
        <v>1016</v>
      </c>
      <c r="E129" s="47">
        <v>393</v>
      </c>
      <c r="F129" s="47">
        <v>1138</v>
      </c>
      <c r="G129" s="47">
        <v>447234</v>
      </c>
      <c r="H129" s="47" t="s">
        <v>1025</v>
      </c>
      <c r="I129" s="50" t="s">
        <v>1026</v>
      </c>
      <c r="J129" s="48" t="s">
        <v>1031</v>
      </c>
      <c r="K129" s="47" t="str">
        <f t="shared" si="1"/>
        <v/>
      </c>
    </row>
    <row r="130" spans="1:11" x14ac:dyDescent="0.25">
      <c r="A130" t="s">
        <v>138</v>
      </c>
      <c r="B130" s="48">
        <v>46048</v>
      </c>
      <c r="C130" t="s">
        <v>1012</v>
      </c>
      <c r="D130" t="s">
        <v>1024</v>
      </c>
      <c r="E130" s="47">
        <v>130</v>
      </c>
      <c r="F130" s="47">
        <v>1961</v>
      </c>
      <c r="G130" s="47">
        <v>254930</v>
      </c>
      <c r="H130" s="47" t="s">
        <v>1030</v>
      </c>
      <c r="I130" s="50" t="s">
        <v>1029</v>
      </c>
      <c r="J130" s="48" t="s">
        <v>1031</v>
      </c>
      <c r="K130" s="47" t="str">
        <f t="shared" ref="K130:K193" si="2">IF(J130="", "", J130-B130)</f>
        <v/>
      </c>
    </row>
    <row r="131" spans="1:11" x14ac:dyDescent="0.25">
      <c r="A131" t="s">
        <v>139</v>
      </c>
      <c r="B131" s="48">
        <v>45697</v>
      </c>
      <c r="C131" t="s">
        <v>1014</v>
      </c>
      <c r="D131" t="s">
        <v>1015</v>
      </c>
      <c r="E131" s="47">
        <v>44</v>
      </c>
      <c r="F131" s="47">
        <v>1183</v>
      </c>
      <c r="G131" s="47">
        <v>52052</v>
      </c>
      <c r="H131" s="47" t="s">
        <v>1027</v>
      </c>
      <c r="I131" s="50" t="s">
        <v>1026</v>
      </c>
      <c r="J131" s="48" t="s">
        <v>1031</v>
      </c>
      <c r="K131" s="47" t="str">
        <f t="shared" si="2"/>
        <v/>
      </c>
    </row>
    <row r="132" spans="1:11" x14ac:dyDescent="0.25">
      <c r="A132" t="s">
        <v>140</v>
      </c>
      <c r="B132" s="48">
        <v>45900</v>
      </c>
      <c r="C132" t="s">
        <v>1012</v>
      </c>
      <c r="D132" t="s">
        <v>1023</v>
      </c>
      <c r="E132" s="47">
        <v>123</v>
      </c>
      <c r="F132" s="47">
        <v>1847</v>
      </c>
      <c r="G132" s="47">
        <v>227181</v>
      </c>
      <c r="H132" s="47" t="s">
        <v>1027</v>
      </c>
      <c r="I132" s="50" t="s">
        <v>1029</v>
      </c>
      <c r="J132" s="48" t="s">
        <v>1031</v>
      </c>
      <c r="K132" s="47" t="str">
        <f t="shared" si="2"/>
        <v/>
      </c>
    </row>
    <row r="133" spans="1:11" x14ac:dyDescent="0.25">
      <c r="A133" t="s">
        <v>141</v>
      </c>
      <c r="B133" s="48">
        <v>46040</v>
      </c>
      <c r="C133" t="s">
        <v>1011</v>
      </c>
      <c r="D133" t="s">
        <v>1019</v>
      </c>
      <c r="E133" s="47">
        <v>487</v>
      </c>
      <c r="F133" s="47">
        <v>302</v>
      </c>
      <c r="G133" s="47">
        <v>147074</v>
      </c>
      <c r="H133" s="47" t="s">
        <v>1030</v>
      </c>
      <c r="I133" s="50" t="s">
        <v>1026</v>
      </c>
      <c r="J133" s="48" t="s">
        <v>1031</v>
      </c>
      <c r="K133" s="47" t="str">
        <f t="shared" si="2"/>
        <v/>
      </c>
    </row>
    <row r="134" spans="1:11" x14ac:dyDescent="0.25">
      <c r="A134" t="s">
        <v>142</v>
      </c>
      <c r="B134" s="48">
        <v>45698</v>
      </c>
      <c r="C134" t="s">
        <v>1014</v>
      </c>
      <c r="D134" t="s">
        <v>1023</v>
      </c>
      <c r="E134" s="47">
        <v>466</v>
      </c>
      <c r="F134" s="47">
        <v>1921</v>
      </c>
      <c r="G134" s="47">
        <v>895186</v>
      </c>
      <c r="H134" s="47" t="s">
        <v>1030</v>
      </c>
      <c r="I134" s="50" t="s">
        <v>1028</v>
      </c>
      <c r="J134" s="48">
        <v>45708</v>
      </c>
      <c r="K134" s="47">
        <f t="shared" si="2"/>
        <v>10</v>
      </c>
    </row>
    <row r="135" spans="1:11" x14ac:dyDescent="0.25">
      <c r="A135" t="s">
        <v>143</v>
      </c>
      <c r="B135" s="48">
        <v>45772</v>
      </c>
      <c r="C135" t="s">
        <v>1013</v>
      </c>
      <c r="D135" t="s">
        <v>1022</v>
      </c>
      <c r="E135" s="47">
        <v>369</v>
      </c>
      <c r="F135" s="47">
        <v>1757</v>
      </c>
      <c r="G135" s="47">
        <v>648333</v>
      </c>
      <c r="H135" s="47" t="s">
        <v>1030</v>
      </c>
      <c r="I135" s="50" t="s">
        <v>1026</v>
      </c>
      <c r="J135" s="48" t="s">
        <v>1031</v>
      </c>
      <c r="K135" s="47" t="str">
        <f t="shared" si="2"/>
        <v/>
      </c>
    </row>
    <row r="136" spans="1:11" x14ac:dyDescent="0.25">
      <c r="A136" t="s">
        <v>144</v>
      </c>
      <c r="B136" s="48">
        <v>45850</v>
      </c>
      <c r="C136" t="s">
        <v>1010</v>
      </c>
      <c r="D136" t="s">
        <v>1018</v>
      </c>
      <c r="E136" s="47">
        <v>452</v>
      </c>
      <c r="F136" s="47">
        <v>1001</v>
      </c>
      <c r="G136" s="47">
        <v>452452</v>
      </c>
      <c r="H136" s="47" t="s">
        <v>1030</v>
      </c>
      <c r="I136" s="50" t="s">
        <v>1029</v>
      </c>
      <c r="J136" s="48" t="s">
        <v>1031</v>
      </c>
      <c r="K136" s="47" t="str">
        <f t="shared" si="2"/>
        <v/>
      </c>
    </row>
    <row r="137" spans="1:11" x14ac:dyDescent="0.25">
      <c r="A137" t="s">
        <v>145</v>
      </c>
      <c r="B137" s="48">
        <v>45973</v>
      </c>
      <c r="C137" t="s">
        <v>1011</v>
      </c>
      <c r="D137" t="s">
        <v>1018</v>
      </c>
      <c r="E137" s="47">
        <v>404</v>
      </c>
      <c r="F137" s="47">
        <v>223</v>
      </c>
      <c r="G137" s="47">
        <v>90092</v>
      </c>
      <c r="H137" s="47" t="s">
        <v>1030</v>
      </c>
      <c r="I137" s="50" t="s">
        <v>1026</v>
      </c>
      <c r="J137" s="48" t="s">
        <v>1031</v>
      </c>
      <c r="K137" s="47" t="str">
        <f t="shared" si="2"/>
        <v/>
      </c>
    </row>
    <row r="138" spans="1:11" x14ac:dyDescent="0.25">
      <c r="A138" t="s">
        <v>146</v>
      </c>
      <c r="B138" s="48">
        <v>45667</v>
      </c>
      <c r="C138" t="s">
        <v>1010</v>
      </c>
      <c r="D138" t="s">
        <v>1020</v>
      </c>
      <c r="E138" s="47">
        <v>353</v>
      </c>
      <c r="F138" s="47">
        <v>1693</v>
      </c>
      <c r="G138" s="47">
        <v>597629</v>
      </c>
      <c r="H138" s="47" t="s">
        <v>1027</v>
      </c>
      <c r="I138" s="50" t="s">
        <v>1028</v>
      </c>
      <c r="J138" s="48">
        <v>45682</v>
      </c>
      <c r="K138" s="47">
        <f t="shared" si="2"/>
        <v>15</v>
      </c>
    </row>
    <row r="139" spans="1:11" x14ac:dyDescent="0.25">
      <c r="A139" t="s">
        <v>147</v>
      </c>
      <c r="B139" s="48">
        <v>45667</v>
      </c>
      <c r="C139" t="s">
        <v>1011</v>
      </c>
      <c r="D139" t="s">
        <v>1016</v>
      </c>
      <c r="E139" s="47">
        <v>68</v>
      </c>
      <c r="F139" s="47">
        <v>1448</v>
      </c>
      <c r="G139" s="47">
        <v>98464</v>
      </c>
      <c r="H139" s="47" t="s">
        <v>1030</v>
      </c>
      <c r="I139" s="50" t="s">
        <v>1028</v>
      </c>
      <c r="J139" s="48">
        <v>45681</v>
      </c>
      <c r="K139" s="47">
        <f t="shared" si="2"/>
        <v>14</v>
      </c>
    </row>
    <row r="140" spans="1:11" x14ac:dyDescent="0.25">
      <c r="A140" t="s">
        <v>148</v>
      </c>
      <c r="B140" s="48">
        <v>46015</v>
      </c>
      <c r="C140" t="s">
        <v>1010</v>
      </c>
      <c r="D140" t="s">
        <v>1024</v>
      </c>
      <c r="E140" s="47">
        <v>229</v>
      </c>
      <c r="F140" s="47">
        <v>1118</v>
      </c>
      <c r="G140" s="47">
        <v>256022</v>
      </c>
      <c r="H140" s="47" t="s">
        <v>1030</v>
      </c>
      <c r="I140" s="50" t="s">
        <v>1028</v>
      </c>
      <c r="J140" s="48">
        <v>46030</v>
      </c>
      <c r="K140" s="47">
        <f t="shared" si="2"/>
        <v>15</v>
      </c>
    </row>
    <row r="141" spans="1:11" x14ac:dyDescent="0.25">
      <c r="A141" t="s">
        <v>149</v>
      </c>
      <c r="B141" s="48">
        <v>45835</v>
      </c>
      <c r="C141" t="s">
        <v>1013</v>
      </c>
      <c r="D141" t="s">
        <v>1020</v>
      </c>
      <c r="E141" s="47">
        <v>225</v>
      </c>
      <c r="F141" s="47">
        <v>1752</v>
      </c>
      <c r="G141" s="47">
        <v>394200</v>
      </c>
      <c r="H141" s="47" t="s">
        <v>1030</v>
      </c>
      <c r="I141" s="50" t="s">
        <v>1026</v>
      </c>
      <c r="J141" s="48" t="s">
        <v>1031</v>
      </c>
      <c r="K141" s="47" t="str">
        <f t="shared" si="2"/>
        <v/>
      </c>
    </row>
    <row r="142" spans="1:11" x14ac:dyDescent="0.25">
      <c r="A142" t="s">
        <v>150</v>
      </c>
      <c r="B142" s="48">
        <v>45892</v>
      </c>
      <c r="C142" t="s">
        <v>1011</v>
      </c>
      <c r="D142" t="s">
        <v>1019</v>
      </c>
      <c r="E142" s="47">
        <v>98</v>
      </c>
      <c r="F142" s="47">
        <v>76</v>
      </c>
      <c r="G142" s="47">
        <v>7448</v>
      </c>
      <c r="H142" s="47" t="s">
        <v>1025</v>
      </c>
      <c r="I142" s="50" t="s">
        <v>1028</v>
      </c>
      <c r="J142" s="48">
        <v>45900</v>
      </c>
      <c r="K142" s="47">
        <f t="shared" si="2"/>
        <v>8</v>
      </c>
    </row>
    <row r="143" spans="1:11" x14ac:dyDescent="0.25">
      <c r="A143" t="s">
        <v>151</v>
      </c>
      <c r="B143" s="48">
        <v>45797</v>
      </c>
      <c r="C143" t="s">
        <v>1014</v>
      </c>
      <c r="D143" t="s">
        <v>1019</v>
      </c>
      <c r="E143" s="47">
        <v>470</v>
      </c>
      <c r="F143" s="47">
        <v>671</v>
      </c>
      <c r="G143" s="47">
        <v>315370</v>
      </c>
      <c r="H143" s="47" t="s">
        <v>1030</v>
      </c>
      <c r="I143" s="50" t="s">
        <v>1029</v>
      </c>
      <c r="J143" s="48" t="s">
        <v>1031</v>
      </c>
      <c r="K143" s="47" t="str">
        <f t="shared" si="2"/>
        <v/>
      </c>
    </row>
    <row r="144" spans="1:11" x14ac:dyDescent="0.25">
      <c r="A144" t="s">
        <v>152</v>
      </c>
      <c r="B144" s="48">
        <v>45682</v>
      </c>
      <c r="C144" t="s">
        <v>1010</v>
      </c>
      <c r="D144" t="s">
        <v>1024</v>
      </c>
      <c r="E144" s="47">
        <v>120</v>
      </c>
      <c r="F144" s="47">
        <v>1473</v>
      </c>
      <c r="G144" s="47">
        <v>176760</v>
      </c>
      <c r="H144" s="47" t="s">
        <v>1027</v>
      </c>
      <c r="I144" s="50" t="s">
        <v>1026</v>
      </c>
      <c r="J144" s="48" t="s">
        <v>1031</v>
      </c>
      <c r="K144" s="47" t="str">
        <f t="shared" si="2"/>
        <v/>
      </c>
    </row>
    <row r="145" spans="1:11" x14ac:dyDescent="0.25">
      <c r="A145" t="s">
        <v>153</v>
      </c>
      <c r="B145" s="48">
        <v>45807</v>
      </c>
      <c r="C145" t="s">
        <v>1012</v>
      </c>
      <c r="D145" t="s">
        <v>1020</v>
      </c>
      <c r="E145" s="47">
        <v>157</v>
      </c>
      <c r="F145" s="47">
        <v>1187</v>
      </c>
      <c r="G145" s="47">
        <v>186359</v>
      </c>
      <c r="H145" s="47" t="s">
        <v>1030</v>
      </c>
      <c r="I145" s="50" t="s">
        <v>1028</v>
      </c>
      <c r="J145" s="48">
        <v>45821</v>
      </c>
      <c r="K145" s="47">
        <f t="shared" si="2"/>
        <v>14</v>
      </c>
    </row>
    <row r="146" spans="1:11" x14ac:dyDescent="0.25">
      <c r="A146" t="s">
        <v>154</v>
      </c>
      <c r="B146" s="48">
        <v>45810</v>
      </c>
      <c r="C146" t="s">
        <v>1012</v>
      </c>
      <c r="D146" t="s">
        <v>1021</v>
      </c>
      <c r="E146" s="47">
        <v>364</v>
      </c>
      <c r="F146" s="47">
        <v>1353</v>
      </c>
      <c r="G146" s="47">
        <v>492492</v>
      </c>
      <c r="H146" s="47" t="s">
        <v>1027</v>
      </c>
      <c r="I146" s="50" t="s">
        <v>1029</v>
      </c>
      <c r="J146" s="48" t="s">
        <v>1031</v>
      </c>
      <c r="K146" s="47" t="str">
        <f t="shared" si="2"/>
        <v/>
      </c>
    </row>
    <row r="147" spans="1:11" x14ac:dyDescent="0.25">
      <c r="A147" t="s">
        <v>155</v>
      </c>
      <c r="B147" s="48">
        <v>45683</v>
      </c>
      <c r="C147" t="s">
        <v>1013</v>
      </c>
      <c r="D147" t="s">
        <v>1016</v>
      </c>
      <c r="E147" s="47">
        <v>32</v>
      </c>
      <c r="F147" s="47">
        <v>1867</v>
      </c>
      <c r="G147" s="47">
        <v>59744</v>
      </c>
      <c r="H147" s="47" t="s">
        <v>1027</v>
      </c>
      <c r="I147" s="50" t="s">
        <v>1026</v>
      </c>
      <c r="J147" s="48" t="s">
        <v>1031</v>
      </c>
      <c r="K147" s="47" t="str">
        <f t="shared" si="2"/>
        <v/>
      </c>
    </row>
    <row r="148" spans="1:11" x14ac:dyDescent="0.25">
      <c r="A148" t="s">
        <v>156</v>
      </c>
      <c r="B148" s="48">
        <v>45718</v>
      </c>
      <c r="C148" t="s">
        <v>1013</v>
      </c>
      <c r="D148" t="s">
        <v>1018</v>
      </c>
      <c r="E148" s="47">
        <v>339</v>
      </c>
      <c r="F148" s="47">
        <v>548</v>
      </c>
      <c r="G148" s="47">
        <v>185772</v>
      </c>
      <c r="H148" s="47" t="s">
        <v>1027</v>
      </c>
      <c r="I148" s="50" t="s">
        <v>1028</v>
      </c>
      <c r="J148" s="48">
        <v>45728</v>
      </c>
      <c r="K148" s="47">
        <f t="shared" si="2"/>
        <v>10</v>
      </c>
    </row>
    <row r="149" spans="1:11" x14ac:dyDescent="0.25">
      <c r="A149" t="s">
        <v>157</v>
      </c>
      <c r="B149" s="48">
        <v>45747</v>
      </c>
      <c r="C149" t="s">
        <v>1010</v>
      </c>
      <c r="D149" t="s">
        <v>1020</v>
      </c>
      <c r="E149" s="47">
        <v>72</v>
      </c>
      <c r="F149" s="47">
        <v>1400</v>
      </c>
      <c r="G149" s="47">
        <v>100800</v>
      </c>
      <c r="H149" s="47" t="s">
        <v>1030</v>
      </c>
      <c r="I149" s="50" t="s">
        <v>1029</v>
      </c>
      <c r="J149" s="48" t="s">
        <v>1031</v>
      </c>
      <c r="K149" s="47" t="str">
        <f t="shared" si="2"/>
        <v/>
      </c>
    </row>
    <row r="150" spans="1:11" x14ac:dyDescent="0.25">
      <c r="A150" t="s">
        <v>158</v>
      </c>
      <c r="B150" s="48">
        <v>46028</v>
      </c>
      <c r="C150" t="s">
        <v>1011</v>
      </c>
      <c r="D150" t="s">
        <v>1022</v>
      </c>
      <c r="E150" s="47">
        <v>42</v>
      </c>
      <c r="F150" s="47">
        <v>1180</v>
      </c>
      <c r="G150" s="47">
        <v>49560</v>
      </c>
      <c r="H150" s="47" t="s">
        <v>1027</v>
      </c>
      <c r="I150" s="50" t="s">
        <v>1029</v>
      </c>
      <c r="J150" s="48" t="s">
        <v>1031</v>
      </c>
      <c r="K150" s="47" t="str">
        <f t="shared" si="2"/>
        <v/>
      </c>
    </row>
    <row r="151" spans="1:11" x14ac:dyDescent="0.25">
      <c r="A151" t="s">
        <v>159</v>
      </c>
      <c r="B151" s="48">
        <v>45870</v>
      </c>
      <c r="C151" t="s">
        <v>1011</v>
      </c>
      <c r="D151" t="s">
        <v>1020</v>
      </c>
      <c r="E151" s="47">
        <v>40</v>
      </c>
      <c r="F151" s="47">
        <v>619</v>
      </c>
      <c r="G151" s="47">
        <v>24760</v>
      </c>
      <c r="H151" s="47" t="s">
        <v>1027</v>
      </c>
      <c r="I151" s="50" t="s">
        <v>1026</v>
      </c>
      <c r="J151" s="48" t="s">
        <v>1031</v>
      </c>
      <c r="K151" s="47" t="str">
        <f t="shared" si="2"/>
        <v/>
      </c>
    </row>
    <row r="152" spans="1:11" x14ac:dyDescent="0.25">
      <c r="A152" t="s">
        <v>160</v>
      </c>
      <c r="B152" s="48">
        <v>45862</v>
      </c>
      <c r="C152" t="s">
        <v>1012</v>
      </c>
      <c r="D152" t="s">
        <v>1024</v>
      </c>
      <c r="E152" s="47">
        <v>362</v>
      </c>
      <c r="F152" s="47">
        <v>831</v>
      </c>
      <c r="G152" s="47">
        <v>300822</v>
      </c>
      <c r="H152" s="47" t="s">
        <v>1027</v>
      </c>
      <c r="I152" s="50" t="s">
        <v>1028</v>
      </c>
      <c r="J152" s="48">
        <v>45869</v>
      </c>
      <c r="K152" s="47">
        <f t="shared" si="2"/>
        <v>7</v>
      </c>
    </row>
    <row r="153" spans="1:11" x14ac:dyDescent="0.25">
      <c r="A153" t="s">
        <v>161</v>
      </c>
      <c r="B153" s="48">
        <v>45687</v>
      </c>
      <c r="C153" t="s">
        <v>1014</v>
      </c>
      <c r="D153" t="s">
        <v>1018</v>
      </c>
      <c r="E153" s="47">
        <v>241</v>
      </c>
      <c r="F153" s="47">
        <v>1091</v>
      </c>
      <c r="G153" s="47">
        <v>262931</v>
      </c>
      <c r="H153" s="47" t="s">
        <v>1025</v>
      </c>
      <c r="I153" s="50" t="s">
        <v>1028</v>
      </c>
      <c r="J153" s="48">
        <v>45702</v>
      </c>
      <c r="K153" s="47">
        <f t="shared" si="2"/>
        <v>15</v>
      </c>
    </row>
    <row r="154" spans="1:11" x14ac:dyDescent="0.25">
      <c r="A154" t="s">
        <v>162</v>
      </c>
      <c r="B154" s="48">
        <v>45831</v>
      </c>
      <c r="C154" t="s">
        <v>1012</v>
      </c>
      <c r="D154" t="s">
        <v>1015</v>
      </c>
      <c r="E154" s="47">
        <v>476</v>
      </c>
      <c r="F154" s="47">
        <v>1255</v>
      </c>
      <c r="G154" s="47">
        <v>597380</v>
      </c>
      <c r="H154" s="47" t="s">
        <v>1025</v>
      </c>
      <c r="I154" s="50" t="s">
        <v>1026</v>
      </c>
      <c r="J154" s="48" t="s">
        <v>1031</v>
      </c>
      <c r="K154" s="47" t="str">
        <f t="shared" si="2"/>
        <v/>
      </c>
    </row>
    <row r="155" spans="1:11" x14ac:dyDescent="0.25">
      <c r="A155" t="s">
        <v>163</v>
      </c>
      <c r="B155" s="48">
        <v>45784</v>
      </c>
      <c r="C155" t="s">
        <v>1012</v>
      </c>
      <c r="D155" t="s">
        <v>1024</v>
      </c>
      <c r="E155" s="47">
        <v>475</v>
      </c>
      <c r="F155" s="47">
        <v>1677</v>
      </c>
      <c r="G155" s="47">
        <v>796575</v>
      </c>
      <c r="H155" s="47" t="s">
        <v>1027</v>
      </c>
      <c r="I155" s="50" t="s">
        <v>1029</v>
      </c>
      <c r="J155" s="48" t="s">
        <v>1031</v>
      </c>
      <c r="K155" s="47" t="str">
        <f t="shared" si="2"/>
        <v/>
      </c>
    </row>
    <row r="156" spans="1:11" x14ac:dyDescent="0.25">
      <c r="A156" t="s">
        <v>164</v>
      </c>
      <c r="B156" s="48">
        <v>45667</v>
      </c>
      <c r="C156" t="s">
        <v>1011</v>
      </c>
      <c r="D156" t="s">
        <v>1019</v>
      </c>
      <c r="E156" s="47">
        <v>364</v>
      </c>
      <c r="F156" s="47">
        <v>689</v>
      </c>
      <c r="G156" s="47">
        <v>250796</v>
      </c>
      <c r="H156" s="47" t="s">
        <v>1027</v>
      </c>
      <c r="I156" s="50" t="s">
        <v>1026</v>
      </c>
      <c r="J156" s="48" t="s">
        <v>1031</v>
      </c>
      <c r="K156" s="47" t="str">
        <f t="shared" si="2"/>
        <v/>
      </c>
    </row>
    <row r="157" spans="1:11" x14ac:dyDescent="0.25">
      <c r="A157" t="s">
        <v>165</v>
      </c>
      <c r="B157" s="48">
        <v>45940</v>
      </c>
      <c r="C157" t="s">
        <v>1010</v>
      </c>
      <c r="D157" t="s">
        <v>1017</v>
      </c>
      <c r="E157" s="47">
        <v>77</v>
      </c>
      <c r="F157" s="47">
        <v>1980</v>
      </c>
      <c r="G157" s="47">
        <v>152460</v>
      </c>
      <c r="H157" s="47" t="s">
        <v>1025</v>
      </c>
      <c r="I157" s="50" t="s">
        <v>1029</v>
      </c>
      <c r="J157" s="48" t="s">
        <v>1031</v>
      </c>
      <c r="K157" s="47" t="str">
        <f t="shared" si="2"/>
        <v/>
      </c>
    </row>
    <row r="158" spans="1:11" x14ac:dyDescent="0.25">
      <c r="A158" t="s">
        <v>166</v>
      </c>
      <c r="B158" s="48">
        <v>46040</v>
      </c>
      <c r="C158" t="s">
        <v>1014</v>
      </c>
      <c r="D158" t="s">
        <v>1015</v>
      </c>
      <c r="E158" s="47">
        <v>261</v>
      </c>
      <c r="F158" s="47">
        <v>1830</v>
      </c>
      <c r="G158" s="47">
        <v>477630</v>
      </c>
      <c r="H158" s="47" t="s">
        <v>1030</v>
      </c>
      <c r="I158" s="50" t="s">
        <v>1026</v>
      </c>
      <c r="J158" s="48" t="s">
        <v>1031</v>
      </c>
      <c r="K158" s="47" t="str">
        <f t="shared" si="2"/>
        <v/>
      </c>
    </row>
    <row r="159" spans="1:11" x14ac:dyDescent="0.25">
      <c r="A159" t="s">
        <v>167</v>
      </c>
      <c r="B159" s="48">
        <v>45864</v>
      </c>
      <c r="C159" t="s">
        <v>1010</v>
      </c>
      <c r="D159" t="s">
        <v>1019</v>
      </c>
      <c r="E159" s="47">
        <v>326</v>
      </c>
      <c r="F159" s="47">
        <v>28</v>
      </c>
      <c r="G159" s="47">
        <v>9128</v>
      </c>
      <c r="H159" s="47" t="s">
        <v>1027</v>
      </c>
      <c r="I159" s="50" t="s">
        <v>1028</v>
      </c>
      <c r="J159" s="48">
        <v>45870</v>
      </c>
      <c r="K159" s="47">
        <f t="shared" si="2"/>
        <v>6</v>
      </c>
    </row>
    <row r="160" spans="1:11" x14ac:dyDescent="0.25">
      <c r="A160" t="s">
        <v>168</v>
      </c>
      <c r="B160" s="48">
        <v>45899</v>
      </c>
      <c r="C160" t="s">
        <v>1011</v>
      </c>
      <c r="D160" t="s">
        <v>1021</v>
      </c>
      <c r="E160" s="47">
        <v>389</v>
      </c>
      <c r="F160" s="47">
        <v>652</v>
      </c>
      <c r="G160" s="47">
        <v>253628</v>
      </c>
      <c r="H160" s="47" t="s">
        <v>1027</v>
      </c>
      <c r="I160" s="50" t="s">
        <v>1028</v>
      </c>
      <c r="J160" s="48">
        <v>45908</v>
      </c>
      <c r="K160" s="47">
        <f t="shared" si="2"/>
        <v>9</v>
      </c>
    </row>
    <row r="161" spans="1:11" x14ac:dyDescent="0.25">
      <c r="A161" t="s">
        <v>169</v>
      </c>
      <c r="B161" s="48">
        <v>46012</v>
      </c>
      <c r="C161" t="s">
        <v>1010</v>
      </c>
      <c r="D161" t="s">
        <v>1016</v>
      </c>
      <c r="E161" s="47">
        <v>487</v>
      </c>
      <c r="F161" s="47">
        <v>308</v>
      </c>
      <c r="G161" s="47">
        <v>149996</v>
      </c>
      <c r="H161" s="47" t="s">
        <v>1027</v>
      </c>
      <c r="I161" s="50" t="s">
        <v>1026</v>
      </c>
      <c r="J161" s="48" t="s">
        <v>1031</v>
      </c>
      <c r="K161" s="47" t="str">
        <f t="shared" si="2"/>
        <v/>
      </c>
    </row>
    <row r="162" spans="1:11" x14ac:dyDescent="0.25">
      <c r="A162" t="s">
        <v>170</v>
      </c>
      <c r="B162" s="48">
        <v>45865</v>
      </c>
      <c r="C162" t="s">
        <v>1012</v>
      </c>
      <c r="D162" t="s">
        <v>1017</v>
      </c>
      <c r="E162" s="47">
        <v>32</v>
      </c>
      <c r="F162" s="47">
        <v>1900</v>
      </c>
      <c r="G162" s="47">
        <v>60800</v>
      </c>
      <c r="H162" s="47" t="s">
        <v>1027</v>
      </c>
      <c r="I162" s="50" t="s">
        <v>1028</v>
      </c>
      <c r="J162" s="48">
        <v>45871</v>
      </c>
      <c r="K162" s="47">
        <f t="shared" si="2"/>
        <v>6</v>
      </c>
    </row>
    <row r="163" spans="1:11" x14ac:dyDescent="0.25">
      <c r="A163" t="s">
        <v>171</v>
      </c>
      <c r="B163" s="48">
        <v>45696</v>
      </c>
      <c r="C163" t="s">
        <v>1013</v>
      </c>
      <c r="D163" t="s">
        <v>1015</v>
      </c>
      <c r="E163" s="47">
        <v>329</v>
      </c>
      <c r="F163" s="47">
        <v>273</v>
      </c>
      <c r="G163" s="47">
        <v>89817</v>
      </c>
      <c r="H163" s="47" t="s">
        <v>1030</v>
      </c>
      <c r="I163" s="50" t="s">
        <v>1028</v>
      </c>
      <c r="J163" s="48">
        <v>45708</v>
      </c>
      <c r="K163" s="47">
        <f t="shared" si="2"/>
        <v>12</v>
      </c>
    </row>
    <row r="164" spans="1:11" x14ac:dyDescent="0.25">
      <c r="A164" t="s">
        <v>172</v>
      </c>
      <c r="B164" s="48">
        <v>45923</v>
      </c>
      <c r="C164" t="s">
        <v>1010</v>
      </c>
      <c r="D164" t="s">
        <v>1024</v>
      </c>
      <c r="E164" s="47">
        <v>47</v>
      </c>
      <c r="F164" s="47">
        <v>727</v>
      </c>
      <c r="G164" s="47">
        <v>34169</v>
      </c>
      <c r="H164" s="47" t="s">
        <v>1027</v>
      </c>
      <c r="I164" s="50" t="s">
        <v>1028</v>
      </c>
      <c r="J164" s="48">
        <v>45930</v>
      </c>
      <c r="K164" s="47">
        <f t="shared" si="2"/>
        <v>7</v>
      </c>
    </row>
    <row r="165" spans="1:11" x14ac:dyDescent="0.25">
      <c r="A165" t="s">
        <v>173</v>
      </c>
      <c r="B165" s="48">
        <v>45903</v>
      </c>
      <c r="C165" t="s">
        <v>1012</v>
      </c>
      <c r="D165" t="s">
        <v>1023</v>
      </c>
      <c r="E165" s="47">
        <v>470</v>
      </c>
      <c r="F165" s="47">
        <v>1956</v>
      </c>
      <c r="G165" s="47">
        <v>919320</v>
      </c>
      <c r="H165" s="47" t="s">
        <v>1025</v>
      </c>
      <c r="I165" s="50" t="s">
        <v>1029</v>
      </c>
      <c r="J165" s="48" t="s">
        <v>1031</v>
      </c>
      <c r="K165" s="47" t="str">
        <f t="shared" si="2"/>
        <v/>
      </c>
    </row>
    <row r="166" spans="1:11" x14ac:dyDescent="0.25">
      <c r="A166" t="s">
        <v>174</v>
      </c>
      <c r="B166" s="48">
        <v>46023</v>
      </c>
      <c r="C166" t="s">
        <v>1011</v>
      </c>
      <c r="D166" t="s">
        <v>1023</v>
      </c>
      <c r="E166" s="47">
        <v>43</v>
      </c>
      <c r="F166" s="47">
        <v>262</v>
      </c>
      <c r="G166" s="47">
        <v>11266</v>
      </c>
      <c r="H166" s="47" t="s">
        <v>1027</v>
      </c>
      <c r="I166" s="50" t="s">
        <v>1026</v>
      </c>
      <c r="J166" s="48" t="s">
        <v>1031</v>
      </c>
      <c r="K166" s="47" t="str">
        <f t="shared" si="2"/>
        <v/>
      </c>
    </row>
    <row r="167" spans="1:11" x14ac:dyDescent="0.25">
      <c r="A167" t="s">
        <v>175</v>
      </c>
      <c r="B167" s="48">
        <v>45722</v>
      </c>
      <c r="C167" t="s">
        <v>1011</v>
      </c>
      <c r="D167" t="s">
        <v>1019</v>
      </c>
      <c r="E167" s="47">
        <v>124</v>
      </c>
      <c r="F167" s="47">
        <v>206</v>
      </c>
      <c r="G167" s="47">
        <v>25544</v>
      </c>
      <c r="H167" s="47" t="s">
        <v>1025</v>
      </c>
      <c r="I167" s="50" t="s">
        <v>1028</v>
      </c>
      <c r="J167" s="48">
        <v>45728</v>
      </c>
      <c r="K167" s="47">
        <f t="shared" si="2"/>
        <v>6</v>
      </c>
    </row>
    <row r="168" spans="1:11" x14ac:dyDescent="0.25">
      <c r="A168" t="s">
        <v>176</v>
      </c>
      <c r="B168" s="48">
        <v>45855</v>
      </c>
      <c r="C168" t="s">
        <v>1011</v>
      </c>
      <c r="D168" t="s">
        <v>1017</v>
      </c>
      <c r="E168" s="47">
        <v>123</v>
      </c>
      <c r="F168" s="47">
        <v>1497</v>
      </c>
      <c r="G168" s="47">
        <v>184131</v>
      </c>
      <c r="H168" s="47" t="s">
        <v>1025</v>
      </c>
      <c r="I168" s="50" t="s">
        <v>1029</v>
      </c>
      <c r="J168" s="48" t="s">
        <v>1031</v>
      </c>
      <c r="K168" s="47" t="str">
        <f t="shared" si="2"/>
        <v/>
      </c>
    </row>
    <row r="169" spans="1:11" x14ac:dyDescent="0.25">
      <c r="A169" t="s">
        <v>177</v>
      </c>
      <c r="B169" s="48">
        <v>45970</v>
      </c>
      <c r="C169" t="s">
        <v>1012</v>
      </c>
      <c r="D169" t="s">
        <v>1022</v>
      </c>
      <c r="E169" s="47">
        <v>300</v>
      </c>
      <c r="F169" s="47">
        <v>1093</v>
      </c>
      <c r="G169" s="47">
        <v>327900</v>
      </c>
      <c r="H169" s="47" t="s">
        <v>1027</v>
      </c>
      <c r="I169" s="50" t="s">
        <v>1029</v>
      </c>
      <c r="J169" s="48" t="s">
        <v>1031</v>
      </c>
      <c r="K169" s="47" t="str">
        <f t="shared" si="2"/>
        <v/>
      </c>
    </row>
    <row r="170" spans="1:11" x14ac:dyDescent="0.25">
      <c r="A170" t="s">
        <v>178</v>
      </c>
      <c r="B170" s="48">
        <v>45794</v>
      </c>
      <c r="C170" t="s">
        <v>1014</v>
      </c>
      <c r="D170" t="s">
        <v>1021</v>
      </c>
      <c r="E170" s="47">
        <v>358</v>
      </c>
      <c r="F170" s="47">
        <v>1764</v>
      </c>
      <c r="G170" s="47">
        <v>631512</v>
      </c>
      <c r="H170" s="47" t="s">
        <v>1027</v>
      </c>
      <c r="I170" s="50" t="s">
        <v>1029</v>
      </c>
      <c r="J170" s="48" t="s">
        <v>1031</v>
      </c>
      <c r="K170" s="47" t="str">
        <f t="shared" si="2"/>
        <v/>
      </c>
    </row>
    <row r="171" spans="1:11" x14ac:dyDescent="0.25">
      <c r="A171" t="s">
        <v>179</v>
      </c>
      <c r="B171" s="48">
        <v>45996</v>
      </c>
      <c r="C171" t="s">
        <v>1010</v>
      </c>
      <c r="D171" t="s">
        <v>1019</v>
      </c>
      <c r="E171" s="47">
        <v>460</v>
      </c>
      <c r="F171" s="47">
        <v>1820</v>
      </c>
      <c r="G171" s="47">
        <v>837200</v>
      </c>
      <c r="H171" s="47" t="s">
        <v>1025</v>
      </c>
      <c r="I171" s="50" t="s">
        <v>1028</v>
      </c>
      <c r="J171" s="48">
        <v>46009</v>
      </c>
      <c r="K171" s="47">
        <f t="shared" si="2"/>
        <v>13</v>
      </c>
    </row>
    <row r="172" spans="1:11" x14ac:dyDescent="0.25">
      <c r="A172" t="s">
        <v>180</v>
      </c>
      <c r="B172" s="48">
        <v>45931</v>
      </c>
      <c r="C172" t="s">
        <v>1012</v>
      </c>
      <c r="D172" t="s">
        <v>1020</v>
      </c>
      <c r="E172" s="47">
        <v>54</v>
      </c>
      <c r="F172" s="47">
        <v>1177</v>
      </c>
      <c r="G172" s="47">
        <v>63558</v>
      </c>
      <c r="H172" s="47" t="s">
        <v>1027</v>
      </c>
      <c r="I172" s="50" t="s">
        <v>1026</v>
      </c>
      <c r="J172" s="48" t="s">
        <v>1031</v>
      </c>
      <c r="K172" s="47" t="str">
        <f t="shared" si="2"/>
        <v/>
      </c>
    </row>
    <row r="173" spans="1:11" x14ac:dyDescent="0.25">
      <c r="A173" t="s">
        <v>181</v>
      </c>
      <c r="B173" s="48">
        <v>46025</v>
      </c>
      <c r="C173" t="s">
        <v>1011</v>
      </c>
      <c r="D173" t="s">
        <v>1017</v>
      </c>
      <c r="E173" s="47">
        <v>136</v>
      </c>
      <c r="F173" s="47">
        <v>1401</v>
      </c>
      <c r="G173" s="47">
        <v>190536</v>
      </c>
      <c r="H173" s="47" t="s">
        <v>1025</v>
      </c>
      <c r="I173" s="50" t="s">
        <v>1028</v>
      </c>
      <c r="J173" s="48">
        <v>46035</v>
      </c>
      <c r="K173" s="47">
        <f t="shared" si="2"/>
        <v>10</v>
      </c>
    </row>
    <row r="174" spans="1:11" x14ac:dyDescent="0.25">
      <c r="A174" t="s">
        <v>182</v>
      </c>
      <c r="B174" s="48">
        <v>45948</v>
      </c>
      <c r="C174" t="s">
        <v>1012</v>
      </c>
      <c r="D174" t="s">
        <v>1021</v>
      </c>
      <c r="E174" s="47">
        <v>290</v>
      </c>
      <c r="F174" s="47">
        <v>1122</v>
      </c>
      <c r="G174" s="47">
        <v>325380</v>
      </c>
      <c r="H174" s="47" t="s">
        <v>1025</v>
      </c>
      <c r="I174" s="50" t="s">
        <v>1026</v>
      </c>
      <c r="J174" s="48" t="s">
        <v>1031</v>
      </c>
      <c r="K174" s="47" t="str">
        <f t="shared" si="2"/>
        <v/>
      </c>
    </row>
    <row r="175" spans="1:11" x14ac:dyDescent="0.25">
      <c r="A175" t="s">
        <v>183</v>
      </c>
      <c r="B175" s="48">
        <v>45783</v>
      </c>
      <c r="C175" t="s">
        <v>1013</v>
      </c>
      <c r="D175" t="s">
        <v>1016</v>
      </c>
      <c r="E175" s="47">
        <v>260</v>
      </c>
      <c r="F175" s="47">
        <v>1955</v>
      </c>
      <c r="G175" s="47">
        <v>508300</v>
      </c>
      <c r="H175" s="47" t="s">
        <v>1027</v>
      </c>
      <c r="I175" s="50" t="s">
        <v>1029</v>
      </c>
      <c r="J175" s="48" t="s">
        <v>1031</v>
      </c>
      <c r="K175" s="47" t="str">
        <f t="shared" si="2"/>
        <v/>
      </c>
    </row>
    <row r="176" spans="1:11" x14ac:dyDescent="0.25">
      <c r="A176" t="s">
        <v>184</v>
      </c>
      <c r="B176" s="48">
        <v>45839</v>
      </c>
      <c r="C176" t="s">
        <v>1012</v>
      </c>
      <c r="D176" t="s">
        <v>1016</v>
      </c>
      <c r="E176" s="47">
        <v>59</v>
      </c>
      <c r="F176" s="47">
        <v>817</v>
      </c>
      <c r="G176" s="47">
        <v>48203</v>
      </c>
      <c r="H176" s="47" t="s">
        <v>1027</v>
      </c>
      <c r="I176" s="50" t="s">
        <v>1028</v>
      </c>
      <c r="J176" s="48">
        <v>45847</v>
      </c>
      <c r="K176" s="47">
        <f t="shared" si="2"/>
        <v>8</v>
      </c>
    </row>
    <row r="177" spans="1:11" x14ac:dyDescent="0.25">
      <c r="A177" t="s">
        <v>185</v>
      </c>
      <c r="B177" s="48">
        <v>45699</v>
      </c>
      <c r="C177" t="s">
        <v>1012</v>
      </c>
      <c r="D177" t="s">
        <v>1021</v>
      </c>
      <c r="E177" s="47">
        <v>256</v>
      </c>
      <c r="F177" s="47">
        <v>1000</v>
      </c>
      <c r="G177" s="47">
        <v>256000</v>
      </c>
      <c r="H177" s="47" t="s">
        <v>1025</v>
      </c>
      <c r="I177" s="50" t="s">
        <v>1026</v>
      </c>
      <c r="J177" s="48" t="s">
        <v>1031</v>
      </c>
      <c r="K177" s="47" t="str">
        <f t="shared" si="2"/>
        <v/>
      </c>
    </row>
    <row r="178" spans="1:11" x14ac:dyDescent="0.25">
      <c r="A178" t="s">
        <v>186</v>
      </c>
      <c r="B178" s="48">
        <v>45931</v>
      </c>
      <c r="C178" t="s">
        <v>1011</v>
      </c>
      <c r="D178" t="s">
        <v>1022</v>
      </c>
      <c r="E178" s="47">
        <v>196</v>
      </c>
      <c r="F178" s="47">
        <v>729</v>
      </c>
      <c r="G178" s="47">
        <v>142884</v>
      </c>
      <c r="H178" s="47" t="s">
        <v>1030</v>
      </c>
      <c r="I178" s="50" t="s">
        <v>1026</v>
      </c>
      <c r="J178" s="48" t="s">
        <v>1031</v>
      </c>
      <c r="K178" s="47" t="str">
        <f t="shared" si="2"/>
        <v/>
      </c>
    </row>
    <row r="179" spans="1:11" x14ac:dyDescent="0.25">
      <c r="A179" t="s">
        <v>187</v>
      </c>
      <c r="B179" s="48">
        <v>45918</v>
      </c>
      <c r="C179" t="s">
        <v>1014</v>
      </c>
      <c r="D179" t="s">
        <v>1022</v>
      </c>
      <c r="E179" s="47">
        <v>331</v>
      </c>
      <c r="F179" s="47">
        <v>1699</v>
      </c>
      <c r="G179" s="47">
        <v>562369</v>
      </c>
      <c r="H179" s="47" t="s">
        <v>1025</v>
      </c>
      <c r="I179" s="50" t="s">
        <v>1026</v>
      </c>
      <c r="J179" s="48" t="s">
        <v>1031</v>
      </c>
      <c r="K179" s="47" t="str">
        <f t="shared" si="2"/>
        <v/>
      </c>
    </row>
    <row r="180" spans="1:11" x14ac:dyDescent="0.25">
      <c r="A180" t="s">
        <v>188</v>
      </c>
      <c r="B180" s="48">
        <v>46039</v>
      </c>
      <c r="C180" t="s">
        <v>1011</v>
      </c>
      <c r="D180" t="s">
        <v>1016</v>
      </c>
      <c r="E180" s="47">
        <v>247</v>
      </c>
      <c r="F180" s="47">
        <v>588</v>
      </c>
      <c r="G180" s="47">
        <v>145236</v>
      </c>
      <c r="H180" s="47" t="s">
        <v>1025</v>
      </c>
      <c r="I180" s="50" t="s">
        <v>1029</v>
      </c>
      <c r="J180" s="48" t="s">
        <v>1031</v>
      </c>
      <c r="K180" s="47" t="str">
        <f t="shared" si="2"/>
        <v/>
      </c>
    </row>
    <row r="181" spans="1:11" x14ac:dyDescent="0.25">
      <c r="A181" t="s">
        <v>189</v>
      </c>
      <c r="B181" s="48">
        <v>45844</v>
      </c>
      <c r="C181" t="s">
        <v>1012</v>
      </c>
      <c r="D181" t="s">
        <v>1015</v>
      </c>
      <c r="E181" s="47">
        <v>74</v>
      </c>
      <c r="F181" s="47">
        <v>168</v>
      </c>
      <c r="G181" s="47">
        <v>12432</v>
      </c>
      <c r="H181" s="47" t="s">
        <v>1027</v>
      </c>
      <c r="I181" s="50" t="s">
        <v>1029</v>
      </c>
      <c r="J181" s="48" t="s">
        <v>1031</v>
      </c>
      <c r="K181" s="47" t="str">
        <f t="shared" si="2"/>
        <v/>
      </c>
    </row>
    <row r="182" spans="1:11" x14ac:dyDescent="0.25">
      <c r="A182" t="s">
        <v>190</v>
      </c>
      <c r="B182" s="48">
        <v>45976</v>
      </c>
      <c r="C182" t="s">
        <v>1011</v>
      </c>
      <c r="D182" t="s">
        <v>1024</v>
      </c>
      <c r="E182" s="47">
        <v>440</v>
      </c>
      <c r="F182" s="47">
        <v>1798</v>
      </c>
      <c r="G182" s="47">
        <v>791120</v>
      </c>
      <c r="H182" s="47" t="s">
        <v>1027</v>
      </c>
      <c r="I182" s="50" t="s">
        <v>1028</v>
      </c>
      <c r="J182" s="48">
        <v>45984</v>
      </c>
      <c r="K182" s="47">
        <f t="shared" si="2"/>
        <v>8</v>
      </c>
    </row>
    <row r="183" spans="1:11" x14ac:dyDescent="0.25">
      <c r="A183" t="s">
        <v>191</v>
      </c>
      <c r="B183" s="48">
        <v>45893</v>
      </c>
      <c r="C183" t="s">
        <v>1012</v>
      </c>
      <c r="D183" t="s">
        <v>1019</v>
      </c>
      <c r="E183" s="47">
        <v>26</v>
      </c>
      <c r="F183" s="47">
        <v>1157</v>
      </c>
      <c r="G183" s="47">
        <v>30082</v>
      </c>
      <c r="H183" s="47" t="s">
        <v>1027</v>
      </c>
      <c r="I183" s="50" t="s">
        <v>1029</v>
      </c>
      <c r="J183" s="48" t="s">
        <v>1031</v>
      </c>
      <c r="K183" s="47" t="str">
        <f t="shared" si="2"/>
        <v/>
      </c>
    </row>
    <row r="184" spans="1:11" x14ac:dyDescent="0.25">
      <c r="A184" t="s">
        <v>192</v>
      </c>
      <c r="B184" s="48">
        <v>45679</v>
      </c>
      <c r="C184" t="s">
        <v>1013</v>
      </c>
      <c r="D184" t="s">
        <v>1023</v>
      </c>
      <c r="E184" s="47">
        <v>123</v>
      </c>
      <c r="F184" s="47">
        <v>1370</v>
      </c>
      <c r="G184" s="47">
        <v>168510</v>
      </c>
      <c r="H184" s="47" t="s">
        <v>1030</v>
      </c>
      <c r="I184" s="50" t="s">
        <v>1029</v>
      </c>
      <c r="J184" s="48" t="s">
        <v>1031</v>
      </c>
      <c r="K184" s="47" t="str">
        <f t="shared" si="2"/>
        <v/>
      </c>
    </row>
    <row r="185" spans="1:11" x14ac:dyDescent="0.25">
      <c r="A185" t="s">
        <v>193</v>
      </c>
      <c r="B185" s="48">
        <v>45880</v>
      </c>
      <c r="C185" t="s">
        <v>1012</v>
      </c>
      <c r="D185" t="s">
        <v>1015</v>
      </c>
      <c r="E185" s="47">
        <v>70</v>
      </c>
      <c r="F185" s="47">
        <v>1490</v>
      </c>
      <c r="G185" s="47">
        <v>104300</v>
      </c>
      <c r="H185" s="47" t="s">
        <v>1027</v>
      </c>
      <c r="I185" s="50" t="s">
        <v>1029</v>
      </c>
      <c r="J185" s="48" t="s">
        <v>1031</v>
      </c>
      <c r="K185" s="47" t="str">
        <f t="shared" si="2"/>
        <v/>
      </c>
    </row>
    <row r="186" spans="1:11" x14ac:dyDescent="0.25">
      <c r="A186" t="s">
        <v>194</v>
      </c>
      <c r="B186" s="48">
        <v>46013</v>
      </c>
      <c r="C186" t="s">
        <v>1012</v>
      </c>
      <c r="D186" t="s">
        <v>1023</v>
      </c>
      <c r="E186" s="47">
        <v>171</v>
      </c>
      <c r="F186" s="47">
        <v>770</v>
      </c>
      <c r="G186" s="47">
        <v>131670</v>
      </c>
      <c r="H186" s="47" t="s">
        <v>1027</v>
      </c>
      <c r="I186" s="50" t="s">
        <v>1029</v>
      </c>
      <c r="J186" s="48" t="s">
        <v>1031</v>
      </c>
      <c r="K186" s="47" t="str">
        <f t="shared" si="2"/>
        <v/>
      </c>
    </row>
    <row r="187" spans="1:11" x14ac:dyDescent="0.25">
      <c r="A187" t="s">
        <v>195</v>
      </c>
      <c r="B187" s="48">
        <v>45874</v>
      </c>
      <c r="C187" t="s">
        <v>1014</v>
      </c>
      <c r="D187" t="s">
        <v>1019</v>
      </c>
      <c r="E187" s="47">
        <v>465</v>
      </c>
      <c r="F187" s="47">
        <v>56</v>
      </c>
      <c r="G187" s="47">
        <v>26040</v>
      </c>
      <c r="H187" s="47" t="s">
        <v>1027</v>
      </c>
      <c r="I187" s="50" t="s">
        <v>1026</v>
      </c>
      <c r="J187" s="48" t="s">
        <v>1031</v>
      </c>
      <c r="K187" s="47" t="str">
        <f t="shared" si="2"/>
        <v/>
      </c>
    </row>
    <row r="188" spans="1:11" x14ac:dyDescent="0.25">
      <c r="A188" t="s">
        <v>196</v>
      </c>
      <c r="B188" s="48">
        <v>45740</v>
      </c>
      <c r="C188" t="s">
        <v>1010</v>
      </c>
      <c r="D188" t="s">
        <v>1018</v>
      </c>
      <c r="E188" s="47">
        <v>261</v>
      </c>
      <c r="F188" s="47">
        <v>1092</v>
      </c>
      <c r="G188" s="47">
        <v>285012</v>
      </c>
      <c r="H188" s="47" t="s">
        <v>1030</v>
      </c>
      <c r="I188" s="50" t="s">
        <v>1029</v>
      </c>
      <c r="J188" s="48" t="s">
        <v>1031</v>
      </c>
      <c r="K188" s="47" t="str">
        <f t="shared" si="2"/>
        <v/>
      </c>
    </row>
    <row r="189" spans="1:11" x14ac:dyDescent="0.25">
      <c r="A189" t="s">
        <v>197</v>
      </c>
      <c r="B189" s="48">
        <v>45923</v>
      </c>
      <c r="C189" t="s">
        <v>1013</v>
      </c>
      <c r="D189" t="s">
        <v>1018</v>
      </c>
      <c r="E189" s="47">
        <v>486</v>
      </c>
      <c r="F189" s="47">
        <v>811</v>
      </c>
      <c r="G189" s="47">
        <v>394146</v>
      </c>
      <c r="H189" s="47" t="s">
        <v>1027</v>
      </c>
      <c r="I189" s="50" t="s">
        <v>1026</v>
      </c>
      <c r="J189" s="48" t="s">
        <v>1031</v>
      </c>
      <c r="K189" s="47" t="str">
        <f t="shared" si="2"/>
        <v/>
      </c>
    </row>
    <row r="190" spans="1:11" x14ac:dyDescent="0.25">
      <c r="A190" t="s">
        <v>198</v>
      </c>
      <c r="B190" s="48">
        <v>45903</v>
      </c>
      <c r="C190" t="s">
        <v>1011</v>
      </c>
      <c r="D190" t="s">
        <v>1015</v>
      </c>
      <c r="E190" s="47">
        <v>107</v>
      </c>
      <c r="F190" s="47">
        <v>1205</v>
      </c>
      <c r="G190" s="47">
        <v>128935</v>
      </c>
      <c r="H190" s="47" t="s">
        <v>1027</v>
      </c>
      <c r="I190" s="50" t="s">
        <v>1029</v>
      </c>
      <c r="J190" s="48" t="s">
        <v>1031</v>
      </c>
      <c r="K190" s="47" t="str">
        <f t="shared" si="2"/>
        <v/>
      </c>
    </row>
    <row r="191" spans="1:11" x14ac:dyDescent="0.25">
      <c r="A191" t="s">
        <v>199</v>
      </c>
      <c r="B191" s="48">
        <v>45695</v>
      </c>
      <c r="C191" t="s">
        <v>1011</v>
      </c>
      <c r="D191" t="s">
        <v>1021</v>
      </c>
      <c r="E191" s="47">
        <v>352</v>
      </c>
      <c r="F191" s="47">
        <v>178</v>
      </c>
      <c r="G191" s="47">
        <v>62656</v>
      </c>
      <c r="H191" s="47" t="s">
        <v>1025</v>
      </c>
      <c r="I191" s="50" t="s">
        <v>1026</v>
      </c>
      <c r="J191" s="48" t="s">
        <v>1031</v>
      </c>
      <c r="K191" s="47" t="str">
        <f t="shared" si="2"/>
        <v/>
      </c>
    </row>
    <row r="192" spans="1:11" x14ac:dyDescent="0.25">
      <c r="A192" t="s">
        <v>200</v>
      </c>
      <c r="B192" s="48">
        <v>45921</v>
      </c>
      <c r="C192" t="s">
        <v>1014</v>
      </c>
      <c r="D192" t="s">
        <v>1017</v>
      </c>
      <c r="E192" s="47">
        <v>298</v>
      </c>
      <c r="F192" s="47">
        <v>1804</v>
      </c>
      <c r="G192" s="47">
        <v>537592</v>
      </c>
      <c r="H192" s="47" t="s">
        <v>1030</v>
      </c>
      <c r="I192" s="50" t="s">
        <v>1028</v>
      </c>
      <c r="J192" s="48">
        <v>45929</v>
      </c>
      <c r="K192" s="47">
        <f t="shared" si="2"/>
        <v>8</v>
      </c>
    </row>
    <row r="193" spans="1:11" x14ac:dyDescent="0.25">
      <c r="A193" t="s">
        <v>201</v>
      </c>
      <c r="B193" s="48">
        <v>45931</v>
      </c>
      <c r="C193" t="s">
        <v>1010</v>
      </c>
      <c r="D193" t="s">
        <v>1021</v>
      </c>
      <c r="E193" s="47">
        <v>100</v>
      </c>
      <c r="F193" s="47">
        <v>162</v>
      </c>
      <c r="G193" s="47">
        <v>16200</v>
      </c>
      <c r="H193" s="47" t="s">
        <v>1025</v>
      </c>
      <c r="I193" s="50" t="s">
        <v>1026</v>
      </c>
      <c r="J193" s="48" t="s">
        <v>1031</v>
      </c>
      <c r="K193" s="47" t="str">
        <f t="shared" si="2"/>
        <v/>
      </c>
    </row>
    <row r="194" spans="1:11" x14ac:dyDescent="0.25">
      <c r="A194" t="s">
        <v>202</v>
      </c>
      <c r="B194" s="48">
        <v>46043</v>
      </c>
      <c r="C194" t="s">
        <v>1012</v>
      </c>
      <c r="D194" t="s">
        <v>1015</v>
      </c>
      <c r="E194" s="47">
        <v>96</v>
      </c>
      <c r="F194" s="47">
        <v>187</v>
      </c>
      <c r="G194" s="47">
        <v>17952</v>
      </c>
      <c r="H194" s="47" t="s">
        <v>1027</v>
      </c>
      <c r="I194" s="50" t="s">
        <v>1026</v>
      </c>
      <c r="J194" s="48" t="s">
        <v>1031</v>
      </c>
      <c r="K194" s="47" t="str">
        <f t="shared" ref="K194:K257" si="3">IF(J194="", "", J194-B194)</f>
        <v/>
      </c>
    </row>
    <row r="195" spans="1:11" x14ac:dyDescent="0.25">
      <c r="A195" t="s">
        <v>203</v>
      </c>
      <c r="B195" s="48">
        <v>45986</v>
      </c>
      <c r="C195" t="s">
        <v>1011</v>
      </c>
      <c r="D195" t="s">
        <v>1017</v>
      </c>
      <c r="E195" s="47">
        <v>482</v>
      </c>
      <c r="F195" s="47">
        <v>670</v>
      </c>
      <c r="G195" s="47">
        <v>322940</v>
      </c>
      <c r="H195" s="47" t="s">
        <v>1025</v>
      </c>
      <c r="I195" s="50" t="s">
        <v>1026</v>
      </c>
      <c r="J195" s="48" t="s">
        <v>1031</v>
      </c>
      <c r="K195" s="47" t="str">
        <f t="shared" si="3"/>
        <v/>
      </c>
    </row>
    <row r="196" spans="1:11" x14ac:dyDescent="0.25">
      <c r="A196" t="s">
        <v>204</v>
      </c>
      <c r="B196" s="48">
        <v>45918</v>
      </c>
      <c r="C196" t="s">
        <v>1012</v>
      </c>
      <c r="D196" t="s">
        <v>1024</v>
      </c>
      <c r="E196" s="47">
        <v>238</v>
      </c>
      <c r="F196" s="47">
        <v>1269</v>
      </c>
      <c r="G196" s="47">
        <v>302022</v>
      </c>
      <c r="H196" s="47" t="s">
        <v>1030</v>
      </c>
      <c r="I196" s="50" t="s">
        <v>1029</v>
      </c>
      <c r="J196" s="48" t="s">
        <v>1031</v>
      </c>
      <c r="K196" s="47" t="str">
        <f t="shared" si="3"/>
        <v/>
      </c>
    </row>
    <row r="197" spans="1:11" x14ac:dyDescent="0.25">
      <c r="A197" t="s">
        <v>205</v>
      </c>
      <c r="B197" s="48">
        <v>45798</v>
      </c>
      <c r="C197" t="s">
        <v>1010</v>
      </c>
      <c r="D197" t="s">
        <v>1016</v>
      </c>
      <c r="E197" s="47">
        <v>260</v>
      </c>
      <c r="F197" s="47">
        <v>1109</v>
      </c>
      <c r="G197" s="47">
        <v>288340</v>
      </c>
      <c r="H197" s="47" t="s">
        <v>1030</v>
      </c>
      <c r="I197" s="50" t="s">
        <v>1028</v>
      </c>
      <c r="J197" s="48">
        <v>45813</v>
      </c>
      <c r="K197" s="47">
        <f t="shared" si="3"/>
        <v>15</v>
      </c>
    </row>
    <row r="198" spans="1:11" x14ac:dyDescent="0.25">
      <c r="A198" t="s">
        <v>206</v>
      </c>
      <c r="B198" s="48">
        <v>45867</v>
      </c>
      <c r="C198" t="s">
        <v>1010</v>
      </c>
      <c r="D198" t="s">
        <v>1016</v>
      </c>
      <c r="E198" s="47">
        <v>8</v>
      </c>
      <c r="F198" s="47">
        <v>1725</v>
      </c>
      <c r="G198" s="47">
        <v>13800</v>
      </c>
      <c r="H198" s="47" t="s">
        <v>1027</v>
      </c>
      <c r="I198" s="50" t="s">
        <v>1029</v>
      </c>
      <c r="J198" s="48" t="s">
        <v>1031</v>
      </c>
      <c r="K198" s="47" t="str">
        <f t="shared" si="3"/>
        <v/>
      </c>
    </row>
    <row r="199" spans="1:11" x14ac:dyDescent="0.25">
      <c r="A199" t="s">
        <v>207</v>
      </c>
      <c r="B199" s="48">
        <v>45867</v>
      </c>
      <c r="C199" t="s">
        <v>1010</v>
      </c>
      <c r="D199" t="s">
        <v>1015</v>
      </c>
      <c r="E199" s="47">
        <v>80</v>
      </c>
      <c r="F199" s="47">
        <v>1262</v>
      </c>
      <c r="G199" s="47">
        <v>100960</v>
      </c>
      <c r="H199" s="47" t="s">
        <v>1030</v>
      </c>
      <c r="I199" s="50" t="s">
        <v>1028</v>
      </c>
      <c r="J199" s="48">
        <v>45882</v>
      </c>
      <c r="K199" s="47">
        <f t="shared" si="3"/>
        <v>15</v>
      </c>
    </row>
    <row r="200" spans="1:11" x14ac:dyDescent="0.25">
      <c r="A200" t="s">
        <v>208</v>
      </c>
      <c r="B200" s="48">
        <v>46038</v>
      </c>
      <c r="C200" t="s">
        <v>1013</v>
      </c>
      <c r="D200" t="s">
        <v>1016</v>
      </c>
      <c r="E200" s="47">
        <v>327</v>
      </c>
      <c r="F200" s="47">
        <v>1272</v>
      </c>
      <c r="G200" s="47">
        <v>415944</v>
      </c>
      <c r="H200" s="47" t="s">
        <v>1025</v>
      </c>
      <c r="I200" s="50" t="s">
        <v>1028</v>
      </c>
      <c r="J200" s="48">
        <v>46051</v>
      </c>
      <c r="K200" s="47">
        <f t="shared" si="3"/>
        <v>13</v>
      </c>
    </row>
    <row r="201" spans="1:11" x14ac:dyDescent="0.25">
      <c r="A201" t="s">
        <v>209</v>
      </c>
      <c r="B201" s="48">
        <v>45733</v>
      </c>
      <c r="C201" t="s">
        <v>1010</v>
      </c>
      <c r="D201" t="s">
        <v>1017</v>
      </c>
      <c r="E201" s="47">
        <v>206</v>
      </c>
      <c r="F201" s="47">
        <v>1123</v>
      </c>
      <c r="G201" s="47">
        <v>231338</v>
      </c>
      <c r="H201" s="47" t="s">
        <v>1030</v>
      </c>
      <c r="I201" s="50" t="s">
        <v>1026</v>
      </c>
      <c r="J201" s="48" t="s">
        <v>1031</v>
      </c>
      <c r="K201" s="47" t="str">
        <f t="shared" si="3"/>
        <v/>
      </c>
    </row>
    <row r="202" spans="1:11" x14ac:dyDescent="0.25">
      <c r="A202" t="s">
        <v>210</v>
      </c>
      <c r="B202" s="48">
        <v>45715</v>
      </c>
      <c r="C202" t="s">
        <v>1011</v>
      </c>
      <c r="D202" t="s">
        <v>1018</v>
      </c>
      <c r="E202" s="47">
        <v>349</v>
      </c>
      <c r="F202" s="47">
        <v>1020</v>
      </c>
      <c r="G202" s="47">
        <v>355980</v>
      </c>
      <c r="H202" s="47" t="s">
        <v>1030</v>
      </c>
      <c r="I202" s="50" t="s">
        <v>1028</v>
      </c>
      <c r="J202" s="48">
        <v>45729</v>
      </c>
      <c r="K202" s="47">
        <f t="shared" si="3"/>
        <v>14</v>
      </c>
    </row>
    <row r="203" spans="1:11" x14ac:dyDescent="0.25">
      <c r="A203" t="s">
        <v>211</v>
      </c>
      <c r="B203" s="48">
        <v>45837</v>
      </c>
      <c r="C203" t="s">
        <v>1014</v>
      </c>
      <c r="D203" t="s">
        <v>1017</v>
      </c>
      <c r="E203" s="47">
        <v>151</v>
      </c>
      <c r="F203" s="47">
        <v>1786</v>
      </c>
      <c r="G203" s="47">
        <v>269686</v>
      </c>
      <c r="H203" s="47" t="s">
        <v>1030</v>
      </c>
      <c r="I203" s="50" t="s">
        <v>1028</v>
      </c>
      <c r="J203" s="48">
        <v>45851</v>
      </c>
      <c r="K203" s="47">
        <f t="shared" si="3"/>
        <v>14</v>
      </c>
    </row>
    <row r="204" spans="1:11" x14ac:dyDescent="0.25">
      <c r="A204" t="s">
        <v>212</v>
      </c>
      <c r="B204" s="48">
        <v>45772</v>
      </c>
      <c r="C204" t="s">
        <v>1012</v>
      </c>
      <c r="D204" t="s">
        <v>1024</v>
      </c>
      <c r="E204" s="47">
        <v>314</v>
      </c>
      <c r="F204" s="47">
        <v>1693</v>
      </c>
      <c r="G204" s="47">
        <v>531602</v>
      </c>
      <c r="H204" s="47" t="s">
        <v>1030</v>
      </c>
      <c r="I204" s="50" t="s">
        <v>1029</v>
      </c>
      <c r="J204" s="48" t="s">
        <v>1031</v>
      </c>
      <c r="K204" s="47" t="str">
        <f t="shared" si="3"/>
        <v/>
      </c>
    </row>
    <row r="205" spans="1:11" x14ac:dyDescent="0.25">
      <c r="A205" t="s">
        <v>213</v>
      </c>
      <c r="B205" s="48">
        <v>45942</v>
      </c>
      <c r="C205" t="s">
        <v>1010</v>
      </c>
      <c r="D205" t="s">
        <v>1023</v>
      </c>
      <c r="E205" s="47">
        <v>61</v>
      </c>
      <c r="F205" s="47">
        <v>678</v>
      </c>
      <c r="G205" s="47">
        <v>41358</v>
      </c>
      <c r="H205" s="47" t="s">
        <v>1027</v>
      </c>
      <c r="I205" s="50" t="s">
        <v>1029</v>
      </c>
      <c r="J205" s="48" t="s">
        <v>1031</v>
      </c>
      <c r="K205" s="47" t="str">
        <f t="shared" si="3"/>
        <v/>
      </c>
    </row>
    <row r="206" spans="1:11" x14ac:dyDescent="0.25">
      <c r="A206" t="s">
        <v>214</v>
      </c>
      <c r="B206" s="48">
        <v>45734</v>
      </c>
      <c r="C206" t="s">
        <v>1013</v>
      </c>
      <c r="D206" t="s">
        <v>1015</v>
      </c>
      <c r="E206" s="47">
        <v>86</v>
      </c>
      <c r="F206" s="47">
        <v>1973</v>
      </c>
      <c r="G206" s="47">
        <v>169678</v>
      </c>
      <c r="H206" s="47" t="s">
        <v>1025</v>
      </c>
      <c r="I206" s="50" t="s">
        <v>1026</v>
      </c>
      <c r="J206" s="48" t="s">
        <v>1031</v>
      </c>
      <c r="K206" s="47" t="str">
        <f t="shared" si="3"/>
        <v/>
      </c>
    </row>
    <row r="207" spans="1:11" x14ac:dyDescent="0.25">
      <c r="A207" t="s">
        <v>215</v>
      </c>
      <c r="B207" s="48">
        <v>45814</v>
      </c>
      <c r="C207" t="s">
        <v>1014</v>
      </c>
      <c r="D207" t="s">
        <v>1023</v>
      </c>
      <c r="E207" s="47">
        <v>406</v>
      </c>
      <c r="F207" s="47">
        <v>1344</v>
      </c>
      <c r="G207" s="47">
        <v>545664</v>
      </c>
      <c r="H207" s="47" t="s">
        <v>1025</v>
      </c>
      <c r="I207" s="50" t="s">
        <v>1029</v>
      </c>
      <c r="J207" s="48" t="s">
        <v>1031</v>
      </c>
      <c r="K207" s="47" t="str">
        <f t="shared" si="3"/>
        <v/>
      </c>
    </row>
    <row r="208" spans="1:11" x14ac:dyDescent="0.25">
      <c r="A208" t="s">
        <v>216</v>
      </c>
      <c r="B208" s="48">
        <v>45913</v>
      </c>
      <c r="C208" t="s">
        <v>1013</v>
      </c>
      <c r="D208" t="s">
        <v>1023</v>
      </c>
      <c r="E208" s="47">
        <v>316</v>
      </c>
      <c r="F208" s="47">
        <v>27</v>
      </c>
      <c r="G208" s="47">
        <v>8532</v>
      </c>
      <c r="H208" s="47" t="s">
        <v>1025</v>
      </c>
      <c r="I208" s="50" t="s">
        <v>1028</v>
      </c>
      <c r="J208" s="48">
        <v>45919</v>
      </c>
      <c r="K208" s="47">
        <f t="shared" si="3"/>
        <v>6</v>
      </c>
    </row>
    <row r="209" spans="1:11" x14ac:dyDescent="0.25">
      <c r="A209" t="s">
        <v>217</v>
      </c>
      <c r="B209" s="48">
        <v>45899</v>
      </c>
      <c r="C209" t="s">
        <v>1014</v>
      </c>
      <c r="D209" t="s">
        <v>1022</v>
      </c>
      <c r="E209" s="47">
        <v>196</v>
      </c>
      <c r="F209" s="47">
        <v>1806</v>
      </c>
      <c r="G209" s="47">
        <v>353976</v>
      </c>
      <c r="H209" s="47" t="s">
        <v>1025</v>
      </c>
      <c r="I209" s="50" t="s">
        <v>1026</v>
      </c>
      <c r="J209" s="48" t="s">
        <v>1031</v>
      </c>
      <c r="K209" s="47" t="str">
        <f t="shared" si="3"/>
        <v/>
      </c>
    </row>
    <row r="210" spans="1:11" x14ac:dyDescent="0.25">
      <c r="A210" t="s">
        <v>218</v>
      </c>
      <c r="B210" s="48">
        <v>46036</v>
      </c>
      <c r="C210" t="s">
        <v>1012</v>
      </c>
      <c r="D210" t="s">
        <v>1022</v>
      </c>
      <c r="E210" s="47">
        <v>169</v>
      </c>
      <c r="F210" s="47">
        <v>551</v>
      </c>
      <c r="G210" s="47">
        <v>93119</v>
      </c>
      <c r="H210" s="47" t="s">
        <v>1025</v>
      </c>
      <c r="I210" s="50" t="s">
        <v>1028</v>
      </c>
      <c r="J210" s="48">
        <v>46046</v>
      </c>
      <c r="K210" s="47">
        <f t="shared" si="3"/>
        <v>10</v>
      </c>
    </row>
    <row r="211" spans="1:11" x14ac:dyDescent="0.25">
      <c r="A211" t="s">
        <v>219</v>
      </c>
      <c r="B211" s="48">
        <v>46049</v>
      </c>
      <c r="C211" t="s">
        <v>1012</v>
      </c>
      <c r="D211" t="s">
        <v>1024</v>
      </c>
      <c r="E211" s="47">
        <v>105</v>
      </c>
      <c r="F211" s="47">
        <v>1224</v>
      </c>
      <c r="G211" s="47">
        <v>128520</v>
      </c>
      <c r="H211" s="47" t="s">
        <v>1025</v>
      </c>
      <c r="I211" s="50" t="s">
        <v>1026</v>
      </c>
      <c r="J211" s="48" t="s">
        <v>1031</v>
      </c>
      <c r="K211" s="47" t="str">
        <f t="shared" si="3"/>
        <v/>
      </c>
    </row>
    <row r="212" spans="1:11" x14ac:dyDescent="0.25">
      <c r="A212" t="s">
        <v>220</v>
      </c>
      <c r="B212" s="48">
        <v>45927</v>
      </c>
      <c r="C212" t="s">
        <v>1013</v>
      </c>
      <c r="D212" t="s">
        <v>1019</v>
      </c>
      <c r="E212" s="47">
        <v>195</v>
      </c>
      <c r="F212" s="47">
        <v>1954</v>
      </c>
      <c r="G212" s="47">
        <v>381030</v>
      </c>
      <c r="H212" s="47" t="s">
        <v>1030</v>
      </c>
      <c r="I212" s="50" t="s">
        <v>1028</v>
      </c>
      <c r="J212" s="48">
        <v>45939</v>
      </c>
      <c r="K212" s="47">
        <f t="shared" si="3"/>
        <v>12</v>
      </c>
    </row>
    <row r="213" spans="1:11" x14ac:dyDescent="0.25">
      <c r="A213" t="s">
        <v>221</v>
      </c>
      <c r="B213" s="48">
        <v>45876</v>
      </c>
      <c r="C213" t="s">
        <v>1011</v>
      </c>
      <c r="D213" t="s">
        <v>1016</v>
      </c>
      <c r="E213" s="47">
        <v>313</v>
      </c>
      <c r="F213" s="47">
        <v>192</v>
      </c>
      <c r="G213" s="47">
        <v>60096</v>
      </c>
      <c r="H213" s="47" t="s">
        <v>1030</v>
      </c>
      <c r="I213" s="50" t="s">
        <v>1028</v>
      </c>
      <c r="J213" s="48">
        <v>45888</v>
      </c>
      <c r="K213" s="47">
        <f t="shared" si="3"/>
        <v>12</v>
      </c>
    </row>
    <row r="214" spans="1:11" x14ac:dyDescent="0.25">
      <c r="A214" t="s">
        <v>222</v>
      </c>
      <c r="B214" s="48">
        <v>45998</v>
      </c>
      <c r="C214" t="s">
        <v>1013</v>
      </c>
      <c r="D214" t="s">
        <v>1024</v>
      </c>
      <c r="E214" s="47">
        <v>94</v>
      </c>
      <c r="F214" s="47">
        <v>896</v>
      </c>
      <c r="G214" s="47">
        <v>84224</v>
      </c>
      <c r="H214" s="47" t="s">
        <v>1030</v>
      </c>
      <c r="I214" s="50" t="s">
        <v>1028</v>
      </c>
      <c r="J214" s="48">
        <v>46004</v>
      </c>
      <c r="K214" s="47">
        <f t="shared" si="3"/>
        <v>6</v>
      </c>
    </row>
    <row r="215" spans="1:11" x14ac:dyDescent="0.25">
      <c r="A215" t="s">
        <v>223</v>
      </c>
      <c r="B215" s="48">
        <v>45923</v>
      </c>
      <c r="C215" t="s">
        <v>1014</v>
      </c>
      <c r="D215" t="s">
        <v>1021</v>
      </c>
      <c r="E215" s="47">
        <v>18</v>
      </c>
      <c r="F215" s="47">
        <v>207</v>
      </c>
      <c r="G215" s="47">
        <v>3726</v>
      </c>
      <c r="H215" s="47" t="s">
        <v>1030</v>
      </c>
      <c r="I215" s="50" t="s">
        <v>1026</v>
      </c>
      <c r="J215" s="48" t="s">
        <v>1031</v>
      </c>
      <c r="K215" s="47" t="str">
        <f t="shared" si="3"/>
        <v/>
      </c>
    </row>
    <row r="216" spans="1:11" x14ac:dyDescent="0.25">
      <c r="A216" t="s">
        <v>224</v>
      </c>
      <c r="B216" s="48">
        <v>45982</v>
      </c>
      <c r="C216" t="s">
        <v>1012</v>
      </c>
      <c r="D216" t="s">
        <v>1019</v>
      </c>
      <c r="E216" s="47">
        <v>465</v>
      </c>
      <c r="F216" s="47">
        <v>1269</v>
      </c>
      <c r="G216" s="47">
        <v>590085</v>
      </c>
      <c r="H216" s="47" t="s">
        <v>1025</v>
      </c>
      <c r="I216" s="50" t="s">
        <v>1028</v>
      </c>
      <c r="J216" s="48">
        <v>45994</v>
      </c>
      <c r="K216" s="47">
        <f t="shared" si="3"/>
        <v>12</v>
      </c>
    </row>
    <row r="217" spans="1:11" x14ac:dyDescent="0.25">
      <c r="A217" t="s">
        <v>225</v>
      </c>
      <c r="B217" s="48">
        <v>45668</v>
      </c>
      <c r="C217" t="s">
        <v>1013</v>
      </c>
      <c r="D217" t="s">
        <v>1024</v>
      </c>
      <c r="E217" s="47">
        <v>264</v>
      </c>
      <c r="F217" s="47">
        <v>269</v>
      </c>
      <c r="G217" s="47">
        <v>71016</v>
      </c>
      <c r="H217" s="47" t="s">
        <v>1027</v>
      </c>
      <c r="I217" s="50" t="s">
        <v>1029</v>
      </c>
      <c r="J217" s="48" t="s">
        <v>1031</v>
      </c>
      <c r="K217" s="47" t="str">
        <f t="shared" si="3"/>
        <v/>
      </c>
    </row>
    <row r="218" spans="1:11" x14ac:dyDescent="0.25">
      <c r="A218" t="s">
        <v>226</v>
      </c>
      <c r="B218" s="48">
        <v>45668</v>
      </c>
      <c r="C218" t="s">
        <v>1012</v>
      </c>
      <c r="D218" t="s">
        <v>1024</v>
      </c>
      <c r="E218" s="47">
        <v>315</v>
      </c>
      <c r="F218" s="47">
        <v>411</v>
      </c>
      <c r="G218" s="47">
        <v>129465</v>
      </c>
      <c r="H218" s="47" t="s">
        <v>1027</v>
      </c>
      <c r="I218" s="50" t="s">
        <v>1028</v>
      </c>
      <c r="J218" s="48">
        <v>45675</v>
      </c>
      <c r="K218" s="47">
        <f t="shared" si="3"/>
        <v>7</v>
      </c>
    </row>
    <row r="219" spans="1:11" x14ac:dyDescent="0.25">
      <c r="A219" t="s">
        <v>227</v>
      </c>
      <c r="B219" s="48">
        <v>45767</v>
      </c>
      <c r="C219" t="s">
        <v>1011</v>
      </c>
      <c r="D219" t="s">
        <v>1018</v>
      </c>
      <c r="E219" s="47">
        <v>163</v>
      </c>
      <c r="F219" s="47">
        <v>1218</v>
      </c>
      <c r="G219" s="47">
        <v>198534</v>
      </c>
      <c r="H219" s="47" t="s">
        <v>1025</v>
      </c>
      <c r="I219" s="50" t="s">
        <v>1029</v>
      </c>
      <c r="J219" s="48" t="s">
        <v>1031</v>
      </c>
      <c r="K219" s="47" t="str">
        <f t="shared" si="3"/>
        <v/>
      </c>
    </row>
    <row r="220" spans="1:11" x14ac:dyDescent="0.25">
      <c r="A220" t="s">
        <v>228</v>
      </c>
      <c r="B220" s="48">
        <v>45660</v>
      </c>
      <c r="C220" t="s">
        <v>1014</v>
      </c>
      <c r="D220" t="s">
        <v>1022</v>
      </c>
      <c r="E220" s="47">
        <v>73</v>
      </c>
      <c r="F220" s="47">
        <v>882</v>
      </c>
      <c r="G220" s="47">
        <v>64386</v>
      </c>
      <c r="H220" s="47" t="s">
        <v>1030</v>
      </c>
      <c r="I220" s="50" t="s">
        <v>1026</v>
      </c>
      <c r="J220" s="48" t="s">
        <v>1031</v>
      </c>
      <c r="K220" s="47" t="str">
        <f t="shared" si="3"/>
        <v/>
      </c>
    </row>
    <row r="221" spans="1:11" x14ac:dyDescent="0.25">
      <c r="A221" t="s">
        <v>229</v>
      </c>
      <c r="B221" s="48">
        <v>45853</v>
      </c>
      <c r="C221" t="s">
        <v>1010</v>
      </c>
      <c r="D221" t="s">
        <v>1015</v>
      </c>
      <c r="E221" s="47">
        <v>451</v>
      </c>
      <c r="F221" s="47">
        <v>1453</v>
      </c>
      <c r="G221" s="47">
        <v>655303</v>
      </c>
      <c r="H221" s="47" t="s">
        <v>1025</v>
      </c>
      <c r="I221" s="50" t="s">
        <v>1029</v>
      </c>
      <c r="J221" s="48" t="s">
        <v>1031</v>
      </c>
      <c r="K221" s="47" t="str">
        <f t="shared" si="3"/>
        <v/>
      </c>
    </row>
    <row r="222" spans="1:11" x14ac:dyDescent="0.25">
      <c r="A222" t="s">
        <v>230</v>
      </c>
      <c r="B222" s="48">
        <v>46028</v>
      </c>
      <c r="C222" t="s">
        <v>1011</v>
      </c>
      <c r="D222" t="s">
        <v>1024</v>
      </c>
      <c r="E222" s="47">
        <v>371</v>
      </c>
      <c r="F222" s="47">
        <v>1367</v>
      </c>
      <c r="G222" s="47">
        <v>507157</v>
      </c>
      <c r="H222" s="47" t="s">
        <v>1027</v>
      </c>
      <c r="I222" s="50" t="s">
        <v>1029</v>
      </c>
      <c r="J222" s="48" t="s">
        <v>1031</v>
      </c>
      <c r="K222" s="47" t="str">
        <f t="shared" si="3"/>
        <v/>
      </c>
    </row>
    <row r="223" spans="1:11" x14ac:dyDescent="0.25">
      <c r="A223" t="s">
        <v>231</v>
      </c>
      <c r="B223" s="48">
        <v>45752</v>
      </c>
      <c r="C223" t="s">
        <v>1012</v>
      </c>
      <c r="D223" t="s">
        <v>1018</v>
      </c>
      <c r="E223" s="47">
        <v>342</v>
      </c>
      <c r="F223" s="47">
        <v>948</v>
      </c>
      <c r="G223" s="47">
        <v>324216</v>
      </c>
      <c r="H223" s="47" t="s">
        <v>1030</v>
      </c>
      <c r="I223" s="50" t="s">
        <v>1029</v>
      </c>
      <c r="J223" s="48" t="s">
        <v>1031</v>
      </c>
      <c r="K223" s="47" t="str">
        <f t="shared" si="3"/>
        <v/>
      </c>
    </row>
    <row r="224" spans="1:11" x14ac:dyDescent="0.25">
      <c r="A224" t="s">
        <v>232</v>
      </c>
      <c r="B224" s="48">
        <v>45963</v>
      </c>
      <c r="C224" t="s">
        <v>1012</v>
      </c>
      <c r="D224" t="s">
        <v>1023</v>
      </c>
      <c r="E224" s="47">
        <v>335</v>
      </c>
      <c r="F224" s="47">
        <v>715</v>
      </c>
      <c r="G224" s="47">
        <v>239525</v>
      </c>
      <c r="H224" s="47" t="s">
        <v>1025</v>
      </c>
      <c r="I224" s="50" t="s">
        <v>1029</v>
      </c>
      <c r="J224" s="48" t="s">
        <v>1031</v>
      </c>
      <c r="K224" s="47" t="str">
        <f t="shared" si="3"/>
        <v/>
      </c>
    </row>
    <row r="225" spans="1:11" x14ac:dyDescent="0.25">
      <c r="A225" t="s">
        <v>233</v>
      </c>
      <c r="B225" s="48">
        <v>45977</v>
      </c>
      <c r="C225" t="s">
        <v>1014</v>
      </c>
      <c r="D225" t="s">
        <v>1015</v>
      </c>
      <c r="E225" s="47">
        <v>328</v>
      </c>
      <c r="F225" s="47">
        <v>1459</v>
      </c>
      <c r="G225" s="47">
        <v>478552</v>
      </c>
      <c r="H225" s="47" t="s">
        <v>1027</v>
      </c>
      <c r="I225" s="50" t="s">
        <v>1028</v>
      </c>
      <c r="J225" s="48">
        <v>45984</v>
      </c>
      <c r="K225" s="47">
        <f t="shared" si="3"/>
        <v>7</v>
      </c>
    </row>
    <row r="226" spans="1:11" x14ac:dyDescent="0.25">
      <c r="A226" t="s">
        <v>234</v>
      </c>
      <c r="B226" s="48">
        <v>46032</v>
      </c>
      <c r="C226" t="s">
        <v>1013</v>
      </c>
      <c r="D226" t="s">
        <v>1019</v>
      </c>
      <c r="E226" s="47">
        <v>420</v>
      </c>
      <c r="F226" s="47">
        <v>1876</v>
      </c>
      <c r="G226" s="47">
        <v>787920</v>
      </c>
      <c r="H226" s="47" t="s">
        <v>1027</v>
      </c>
      <c r="I226" s="50" t="s">
        <v>1029</v>
      </c>
      <c r="J226" s="48" t="s">
        <v>1031</v>
      </c>
      <c r="K226" s="47" t="str">
        <f t="shared" si="3"/>
        <v/>
      </c>
    </row>
    <row r="227" spans="1:11" x14ac:dyDescent="0.25">
      <c r="A227" t="s">
        <v>235</v>
      </c>
      <c r="B227" s="48">
        <v>45986</v>
      </c>
      <c r="C227" t="s">
        <v>1010</v>
      </c>
      <c r="D227" t="s">
        <v>1019</v>
      </c>
      <c r="E227" s="47">
        <v>45</v>
      </c>
      <c r="F227" s="47">
        <v>47</v>
      </c>
      <c r="G227" s="47">
        <v>2115</v>
      </c>
      <c r="H227" s="47" t="s">
        <v>1030</v>
      </c>
      <c r="I227" s="50" t="s">
        <v>1028</v>
      </c>
      <c r="J227" s="48">
        <v>45995</v>
      </c>
      <c r="K227" s="47">
        <f t="shared" si="3"/>
        <v>9</v>
      </c>
    </row>
    <row r="228" spans="1:11" x14ac:dyDescent="0.25">
      <c r="A228" t="s">
        <v>236</v>
      </c>
      <c r="B228" s="48">
        <v>46002</v>
      </c>
      <c r="C228" t="s">
        <v>1013</v>
      </c>
      <c r="D228" t="s">
        <v>1016</v>
      </c>
      <c r="E228" s="47">
        <v>436</v>
      </c>
      <c r="F228" s="47">
        <v>1077</v>
      </c>
      <c r="G228" s="47">
        <v>469572</v>
      </c>
      <c r="H228" s="47" t="s">
        <v>1025</v>
      </c>
      <c r="I228" s="50" t="s">
        <v>1026</v>
      </c>
      <c r="J228" s="48" t="s">
        <v>1031</v>
      </c>
      <c r="K228" s="47" t="str">
        <f t="shared" si="3"/>
        <v/>
      </c>
    </row>
    <row r="229" spans="1:11" x14ac:dyDescent="0.25">
      <c r="A229" t="s">
        <v>237</v>
      </c>
      <c r="B229" s="48">
        <v>46011</v>
      </c>
      <c r="C229" t="s">
        <v>1010</v>
      </c>
      <c r="D229" t="s">
        <v>1015</v>
      </c>
      <c r="E229" s="47">
        <v>327</v>
      </c>
      <c r="F229" s="47">
        <v>1820</v>
      </c>
      <c r="G229" s="47">
        <v>595140</v>
      </c>
      <c r="H229" s="47" t="s">
        <v>1025</v>
      </c>
      <c r="I229" s="50" t="s">
        <v>1029</v>
      </c>
      <c r="J229" s="48" t="s">
        <v>1031</v>
      </c>
      <c r="K229" s="47" t="str">
        <f t="shared" si="3"/>
        <v/>
      </c>
    </row>
    <row r="230" spans="1:11" x14ac:dyDescent="0.25">
      <c r="A230" t="s">
        <v>238</v>
      </c>
      <c r="B230" s="48">
        <v>45926</v>
      </c>
      <c r="C230" t="s">
        <v>1014</v>
      </c>
      <c r="D230" t="s">
        <v>1020</v>
      </c>
      <c r="E230" s="47">
        <v>393</v>
      </c>
      <c r="F230" s="47">
        <v>745</v>
      </c>
      <c r="G230" s="47">
        <v>292785</v>
      </c>
      <c r="H230" s="47" t="s">
        <v>1025</v>
      </c>
      <c r="I230" s="50" t="s">
        <v>1026</v>
      </c>
      <c r="J230" s="48" t="s">
        <v>1031</v>
      </c>
      <c r="K230" s="47" t="str">
        <f t="shared" si="3"/>
        <v/>
      </c>
    </row>
    <row r="231" spans="1:11" x14ac:dyDescent="0.25">
      <c r="A231" t="s">
        <v>239</v>
      </c>
      <c r="B231" s="48">
        <v>45802</v>
      </c>
      <c r="C231" t="s">
        <v>1014</v>
      </c>
      <c r="D231" t="s">
        <v>1019</v>
      </c>
      <c r="E231" s="47">
        <v>333</v>
      </c>
      <c r="F231" s="47">
        <v>857</v>
      </c>
      <c r="G231" s="47">
        <v>285381</v>
      </c>
      <c r="H231" s="47" t="s">
        <v>1027</v>
      </c>
      <c r="I231" s="50" t="s">
        <v>1028</v>
      </c>
      <c r="J231" s="48">
        <v>45815</v>
      </c>
      <c r="K231" s="47">
        <f t="shared" si="3"/>
        <v>13</v>
      </c>
    </row>
    <row r="232" spans="1:11" x14ac:dyDescent="0.25">
      <c r="A232" t="s">
        <v>240</v>
      </c>
      <c r="B232" s="48">
        <v>45694</v>
      </c>
      <c r="C232" t="s">
        <v>1013</v>
      </c>
      <c r="D232" t="s">
        <v>1019</v>
      </c>
      <c r="E232" s="47">
        <v>365</v>
      </c>
      <c r="F232" s="47">
        <v>1237</v>
      </c>
      <c r="G232" s="47">
        <v>451505</v>
      </c>
      <c r="H232" s="47" t="s">
        <v>1030</v>
      </c>
      <c r="I232" s="50" t="s">
        <v>1026</v>
      </c>
      <c r="J232" s="48" t="s">
        <v>1031</v>
      </c>
      <c r="K232" s="47" t="str">
        <f t="shared" si="3"/>
        <v/>
      </c>
    </row>
    <row r="233" spans="1:11" x14ac:dyDescent="0.25">
      <c r="A233" t="s">
        <v>241</v>
      </c>
      <c r="B233" s="48">
        <v>45681</v>
      </c>
      <c r="C233" t="s">
        <v>1011</v>
      </c>
      <c r="D233" t="s">
        <v>1024</v>
      </c>
      <c r="E233" s="47">
        <v>210</v>
      </c>
      <c r="F233" s="47">
        <v>402</v>
      </c>
      <c r="G233" s="47">
        <v>84420</v>
      </c>
      <c r="H233" s="47" t="s">
        <v>1027</v>
      </c>
      <c r="I233" s="50" t="s">
        <v>1026</v>
      </c>
      <c r="J233" s="48" t="s">
        <v>1031</v>
      </c>
      <c r="K233" s="47" t="str">
        <f t="shared" si="3"/>
        <v/>
      </c>
    </row>
    <row r="234" spans="1:11" x14ac:dyDescent="0.25">
      <c r="A234" t="s">
        <v>242</v>
      </c>
      <c r="B234" s="48">
        <v>45756</v>
      </c>
      <c r="C234" t="s">
        <v>1010</v>
      </c>
      <c r="D234" t="s">
        <v>1019</v>
      </c>
      <c r="E234" s="47">
        <v>173</v>
      </c>
      <c r="F234" s="47">
        <v>564</v>
      </c>
      <c r="G234" s="47">
        <v>97572</v>
      </c>
      <c r="H234" s="47" t="s">
        <v>1027</v>
      </c>
      <c r="I234" s="50" t="s">
        <v>1026</v>
      </c>
      <c r="J234" s="48" t="s">
        <v>1031</v>
      </c>
      <c r="K234" s="47" t="str">
        <f t="shared" si="3"/>
        <v/>
      </c>
    </row>
    <row r="235" spans="1:11" x14ac:dyDescent="0.25">
      <c r="A235" t="s">
        <v>243</v>
      </c>
      <c r="B235" s="48">
        <v>45830</v>
      </c>
      <c r="C235" t="s">
        <v>1011</v>
      </c>
      <c r="D235" t="s">
        <v>1018</v>
      </c>
      <c r="E235" s="47">
        <v>17</v>
      </c>
      <c r="F235" s="47">
        <v>401</v>
      </c>
      <c r="G235" s="47">
        <v>6817</v>
      </c>
      <c r="H235" s="47" t="s">
        <v>1025</v>
      </c>
      <c r="I235" s="50" t="s">
        <v>1028</v>
      </c>
      <c r="J235" s="48">
        <v>45836</v>
      </c>
      <c r="K235" s="47">
        <f t="shared" si="3"/>
        <v>6</v>
      </c>
    </row>
    <row r="236" spans="1:11" x14ac:dyDescent="0.25">
      <c r="A236" t="s">
        <v>244</v>
      </c>
      <c r="B236" s="48">
        <v>45869</v>
      </c>
      <c r="C236" t="s">
        <v>1013</v>
      </c>
      <c r="D236" t="s">
        <v>1023</v>
      </c>
      <c r="E236" s="47">
        <v>297</v>
      </c>
      <c r="F236" s="47">
        <v>1937</v>
      </c>
      <c r="G236" s="47">
        <v>575289</v>
      </c>
      <c r="H236" s="47" t="s">
        <v>1025</v>
      </c>
      <c r="I236" s="50" t="s">
        <v>1028</v>
      </c>
      <c r="J236" s="48">
        <v>45884</v>
      </c>
      <c r="K236" s="47">
        <f t="shared" si="3"/>
        <v>15</v>
      </c>
    </row>
    <row r="237" spans="1:11" x14ac:dyDescent="0.25">
      <c r="A237" t="s">
        <v>245</v>
      </c>
      <c r="B237" s="48">
        <v>46002</v>
      </c>
      <c r="C237" t="s">
        <v>1010</v>
      </c>
      <c r="D237" t="s">
        <v>1022</v>
      </c>
      <c r="E237" s="47">
        <v>119</v>
      </c>
      <c r="F237" s="47">
        <v>1820</v>
      </c>
      <c r="G237" s="47">
        <v>216580</v>
      </c>
      <c r="H237" s="47" t="s">
        <v>1027</v>
      </c>
      <c r="I237" s="50" t="s">
        <v>1028</v>
      </c>
      <c r="J237" s="48">
        <v>46014</v>
      </c>
      <c r="K237" s="47">
        <f t="shared" si="3"/>
        <v>12</v>
      </c>
    </row>
    <row r="238" spans="1:11" x14ac:dyDescent="0.25">
      <c r="A238" t="s">
        <v>246</v>
      </c>
      <c r="B238" s="48">
        <v>45962</v>
      </c>
      <c r="C238" t="s">
        <v>1012</v>
      </c>
      <c r="D238" t="s">
        <v>1021</v>
      </c>
      <c r="E238" s="47">
        <v>150</v>
      </c>
      <c r="F238" s="47">
        <v>93</v>
      </c>
      <c r="G238" s="47">
        <v>13950</v>
      </c>
      <c r="H238" s="47" t="s">
        <v>1027</v>
      </c>
      <c r="I238" s="50" t="s">
        <v>1029</v>
      </c>
      <c r="J238" s="48" t="s">
        <v>1031</v>
      </c>
      <c r="K238" s="47" t="str">
        <f t="shared" si="3"/>
        <v/>
      </c>
    </row>
    <row r="239" spans="1:11" x14ac:dyDescent="0.25">
      <c r="A239" t="s">
        <v>247</v>
      </c>
      <c r="B239" s="48">
        <v>45788</v>
      </c>
      <c r="C239" t="s">
        <v>1012</v>
      </c>
      <c r="D239" t="s">
        <v>1019</v>
      </c>
      <c r="E239" s="47">
        <v>227</v>
      </c>
      <c r="F239" s="47">
        <v>1334</v>
      </c>
      <c r="G239" s="47">
        <v>302818</v>
      </c>
      <c r="H239" s="47" t="s">
        <v>1025</v>
      </c>
      <c r="I239" s="50" t="s">
        <v>1026</v>
      </c>
      <c r="J239" s="48" t="s">
        <v>1031</v>
      </c>
      <c r="K239" s="47" t="str">
        <f t="shared" si="3"/>
        <v/>
      </c>
    </row>
    <row r="240" spans="1:11" x14ac:dyDescent="0.25">
      <c r="A240" t="s">
        <v>248</v>
      </c>
      <c r="B240" s="48">
        <v>46000</v>
      </c>
      <c r="C240" t="s">
        <v>1013</v>
      </c>
      <c r="D240" t="s">
        <v>1019</v>
      </c>
      <c r="E240" s="47">
        <v>125</v>
      </c>
      <c r="F240" s="47">
        <v>1195</v>
      </c>
      <c r="G240" s="47">
        <v>149375</v>
      </c>
      <c r="H240" s="47" t="s">
        <v>1027</v>
      </c>
      <c r="I240" s="50" t="s">
        <v>1026</v>
      </c>
      <c r="J240" s="48" t="s">
        <v>1031</v>
      </c>
      <c r="K240" s="47" t="str">
        <f t="shared" si="3"/>
        <v/>
      </c>
    </row>
    <row r="241" spans="1:11" x14ac:dyDescent="0.25">
      <c r="A241" t="s">
        <v>249</v>
      </c>
      <c r="B241" s="48">
        <v>45984</v>
      </c>
      <c r="C241" t="s">
        <v>1013</v>
      </c>
      <c r="D241" t="s">
        <v>1021</v>
      </c>
      <c r="E241" s="47">
        <v>321</v>
      </c>
      <c r="F241" s="47">
        <v>534</v>
      </c>
      <c r="G241" s="47">
        <v>171414</v>
      </c>
      <c r="H241" s="47" t="s">
        <v>1030</v>
      </c>
      <c r="I241" s="50" t="s">
        <v>1026</v>
      </c>
      <c r="J241" s="48" t="s">
        <v>1031</v>
      </c>
      <c r="K241" s="47" t="str">
        <f t="shared" si="3"/>
        <v/>
      </c>
    </row>
    <row r="242" spans="1:11" x14ac:dyDescent="0.25">
      <c r="A242" t="s">
        <v>250</v>
      </c>
      <c r="B242" s="48">
        <v>45933</v>
      </c>
      <c r="C242" t="s">
        <v>1014</v>
      </c>
      <c r="D242" t="s">
        <v>1015</v>
      </c>
      <c r="E242" s="47">
        <v>397</v>
      </c>
      <c r="F242" s="47">
        <v>596</v>
      </c>
      <c r="G242" s="47">
        <v>236612</v>
      </c>
      <c r="H242" s="47" t="s">
        <v>1025</v>
      </c>
      <c r="I242" s="50" t="s">
        <v>1026</v>
      </c>
      <c r="J242" s="48" t="s">
        <v>1031</v>
      </c>
      <c r="K242" s="47" t="str">
        <f t="shared" si="3"/>
        <v/>
      </c>
    </row>
    <row r="243" spans="1:11" x14ac:dyDescent="0.25">
      <c r="A243" t="s">
        <v>251</v>
      </c>
      <c r="B243" s="48">
        <v>45829</v>
      </c>
      <c r="C243" t="s">
        <v>1011</v>
      </c>
      <c r="D243" t="s">
        <v>1017</v>
      </c>
      <c r="E243" s="47">
        <v>318</v>
      </c>
      <c r="F243" s="47">
        <v>1134</v>
      </c>
      <c r="G243" s="47">
        <v>360612</v>
      </c>
      <c r="H243" s="47" t="s">
        <v>1027</v>
      </c>
      <c r="I243" s="50" t="s">
        <v>1029</v>
      </c>
      <c r="J243" s="48" t="s">
        <v>1031</v>
      </c>
      <c r="K243" s="47" t="str">
        <f t="shared" si="3"/>
        <v/>
      </c>
    </row>
    <row r="244" spans="1:11" x14ac:dyDescent="0.25">
      <c r="A244" t="s">
        <v>252</v>
      </c>
      <c r="B244" s="48">
        <v>45787</v>
      </c>
      <c r="C244" t="s">
        <v>1010</v>
      </c>
      <c r="D244" t="s">
        <v>1024</v>
      </c>
      <c r="E244" s="47">
        <v>177</v>
      </c>
      <c r="F244" s="47">
        <v>865</v>
      </c>
      <c r="G244" s="47">
        <v>153105</v>
      </c>
      <c r="H244" s="47" t="s">
        <v>1025</v>
      </c>
      <c r="I244" s="50" t="s">
        <v>1029</v>
      </c>
      <c r="J244" s="48" t="s">
        <v>1031</v>
      </c>
      <c r="K244" s="47" t="str">
        <f t="shared" si="3"/>
        <v/>
      </c>
    </row>
    <row r="245" spans="1:11" x14ac:dyDescent="0.25">
      <c r="A245" t="s">
        <v>253</v>
      </c>
      <c r="B245" s="48">
        <v>46036</v>
      </c>
      <c r="C245" t="s">
        <v>1010</v>
      </c>
      <c r="D245" t="s">
        <v>1015</v>
      </c>
      <c r="E245" s="47">
        <v>17</v>
      </c>
      <c r="F245" s="47">
        <v>1843</v>
      </c>
      <c r="G245" s="47">
        <v>31331</v>
      </c>
      <c r="H245" s="47" t="s">
        <v>1030</v>
      </c>
      <c r="I245" s="50" t="s">
        <v>1028</v>
      </c>
      <c r="J245" s="48">
        <v>46051</v>
      </c>
      <c r="K245" s="47">
        <f t="shared" si="3"/>
        <v>15</v>
      </c>
    </row>
    <row r="246" spans="1:11" x14ac:dyDescent="0.25">
      <c r="A246" t="s">
        <v>254</v>
      </c>
      <c r="B246" s="48">
        <v>45913</v>
      </c>
      <c r="C246" t="s">
        <v>1011</v>
      </c>
      <c r="D246" t="s">
        <v>1020</v>
      </c>
      <c r="E246" s="47">
        <v>34</v>
      </c>
      <c r="F246" s="47">
        <v>308</v>
      </c>
      <c r="G246" s="47">
        <v>10472</v>
      </c>
      <c r="H246" s="47" t="s">
        <v>1025</v>
      </c>
      <c r="I246" s="50" t="s">
        <v>1029</v>
      </c>
      <c r="J246" s="48" t="s">
        <v>1031</v>
      </c>
      <c r="K246" s="47" t="str">
        <f t="shared" si="3"/>
        <v/>
      </c>
    </row>
    <row r="247" spans="1:11" x14ac:dyDescent="0.25">
      <c r="A247" t="s">
        <v>255</v>
      </c>
      <c r="B247" s="48">
        <v>46006</v>
      </c>
      <c r="C247" t="s">
        <v>1014</v>
      </c>
      <c r="D247" t="s">
        <v>1019</v>
      </c>
      <c r="E247" s="47">
        <v>153</v>
      </c>
      <c r="F247" s="47">
        <v>1736</v>
      </c>
      <c r="G247" s="47">
        <v>265608</v>
      </c>
      <c r="H247" s="47" t="s">
        <v>1025</v>
      </c>
      <c r="I247" s="50" t="s">
        <v>1028</v>
      </c>
      <c r="J247" s="48">
        <v>46013</v>
      </c>
      <c r="K247" s="47">
        <f t="shared" si="3"/>
        <v>7</v>
      </c>
    </row>
    <row r="248" spans="1:11" x14ac:dyDescent="0.25">
      <c r="A248" t="s">
        <v>256</v>
      </c>
      <c r="B248" s="48">
        <v>45807</v>
      </c>
      <c r="C248" t="s">
        <v>1013</v>
      </c>
      <c r="D248" t="s">
        <v>1015</v>
      </c>
      <c r="E248" s="47">
        <v>426</v>
      </c>
      <c r="F248" s="47">
        <v>946</v>
      </c>
      <c r="G248" s="47">
        <v>402996</v>
      </c>
      <c r="H248" s="47" t="s">
        <v>1030</v>
      </c>
      <c r="I248" s="50" t="s">
        <v>1028</v>
      </c>
      <c r="J248" s="48">
        <v>45820</v>
      </c>
      <c r="K248" s="47">
        <f t="shared" si="3"/>
        <v>13</v>
      </c>
    </row>
    <row r="249" spans="1:11" x14ac:dyDescent="0.25">
      <c r="A249" t="s">
        <v>257</v>
      </c>
      <c r="B249" s="48">
        <v>45905</v>
      </c>
      <c r="C249" t="s">
        <v>1014</v>
      </c>
      <c r="D249" t="s">
        <v>1015</v>
      </c>
      <c r="E249" s="47">
        <v>170</v>
      </c>
      <c r="F249" s="47">
        <v>888</v>
      </c>
      <c r="G249" s="47">
        <v>150960</v>
      </c>
      <c r="H249" s="47" t="s">
        <v>1030</v>
      </c>
      <c r="I249" s="50" t="s">
        <v>1029</v>
      </c>
      <c r="J249" s="48" t="s">
        <v>1031</v>
      </c>
      <c r="K249" s="47" t="str">
        <f t="shared" si="3"/>
        <v/>
      </c>
    </row>
    <row r="250" spans="1:11" x14ac:dyDescent="0.25">
      <c r="A250" t="s">
        <v>258</v>
      </c>
      <c r="B250" s="48">
        <v>45677</v>
      </c>
      <c r="C250" t="s">
        <v>1013</v>
      </c>
      <c r="D250" t="s">
        <v>1022</v>
      </c>
      <c r="E250" s="47">
        <v>285</v>
      </c>
      <c r="F250" s="47">
        <v>1022</v>
      </c>
      <c r="G250" s="47">
        <v>291270</v>
      </c>
      <c r="H250" s="47" t="s">
        <v>1030</v>
      </c>
      <c r="I250" s="50" t="s">
        <v>1029</v>
      </c>
      <c r="J250" s="48" t="s">
        <v>1031</v>
      </c>
      <c r="K250" s="47" t="str">
        <f t="shared" si="3"/>
        <v/>
      </c>
    </row>
    <row r="251" spans="1:11" x14ac:dyDescent="0.25">
      <c r="A251" t="s">
        <v>259</v>
      </c>
      <c r="B251" s="48">
        <v>45844</v>
      </c>
      <c r="C251" t="s">
        <v>1012</v>
      </c>
      <c r="D251" t="s">
        <v>1024</v>
      </c>
      <c r="E251" s="47">
        <v>156</v>
      </c>
      <c r="F251" s="47">
        <v>424</v>
      </c>
      <c r="G251" s="47">
        <v>66144</v>
      </c>
      <c r="H251" s="47" t="s">
        <v>1025</v>
      </c>
      <c r="I251" s="50" t="s">
        <v>1026</v>
      </c>
      <c r="J251" s="48" t="s">
        <v>1031</v>
      </c>
      <c r="K251" s="47" t="str">
        <f t="shared" si="3"/>
        <v/>
      </c>
    </row>
    <row r="252" spans="1:11" x14ac:dyDescent="0.25">
      <c r="A252" t="s">
        <v>260</v>
      </c>
      <c r="B252" s="48">
        <v>45990</v>
      </c>
      <c r="C252" t="s">
        <v>1012</v>
      </c>
      <c r="D252" t="s">
        <v>1018</v>
      </c>
      <c r="E252" s="47">
        <v>239</v>
      </c>
      <c r="F252" s="47">
        <v>212</v>
      </c>
      <c r="G252" s="47">
        <v>50668</v>
      </c>
      <c r="H252" s="47" t="s">
        <v>1030</v>
      </c>
      <c r="I252" s="50" t="s">
        <v>1029</v>
      </c>
      <c r="J252" s="48" t="s">
        <v>1031</v>
      </c>
      <c r="K252" s="47" t="str">
        <f t="shared" si="3"/>
        <v/>
      </c>
    </row>
    <row r="253" spans="1:11" x14ac:dyDescent="0.25">
      <c r="A253" t="s">
        <v>261</v>
      </c>
      <c r="B253" s="48">
        <v>45979</v>
      </c>
      <c r="C253" t="s">
        <v>1012</v>
      </c>
      <c r="D253" t="s">
        <v>1016</v>
      </c>
      <c r="E253" s="47">
        <v>407</v>
      </c>
      <c r="F253" s="47">
        <v>705</v>
      </c>
      <c r="G253" s="47">
        <v>286935</v>
      </c>
      <c r="H253" s="47" t="s">
        <v>1030</v>
      </c>
      <c r="I253" s="50" t="s">
        <v>1029</v>
      </c>
      <c r="J253" s="48" t="s">
        <v>1031</v>
      </c>
      <c r="K253" s="47" t="str">
        <f t="shared" si="3"/>
        <v/>
      </c>
    </row>
    <row r="254" spans="1:11" x14ac:dyDescent="0.25">
      <c r="A254" t="s">
        <v>262</v>
      </c>
      <c r="B254" s="48">
        <v>45860</v>
      </c>
      <c r="C254" t="s">
        <v>1012</v>
      </c>
      <c r="D254" t="s">
        <v>1020</v>
      </c>
      <c r="E254" s="47">
        <v>184</v>
      </c>
      <c r="F254" s="47">
        <v>727</v>
      </c>
      <c r="G254" s="47">
        <v>133768</v>
      </c>
      <c r="H254" s="47" t="s">
        <v>1025</v>
      </c>
      <c r="I254" s="50" t="s">
        <v>1029</v>
      </c>
      <c r="J254" s="48" t="s">
        <v>1031</v>
      </c>
      <c r="K254" s="47" t="str">
        <f t="shared" si="3"/>
        <v/>
      </c>
    </row>
    <row r="255" spans="1:11" x14ac:dyDescent="0.25">
      <c r="A255" t="s">
        <v>263</v>
      </c>
      <c r="B255" s="48">
        <v>45732</v>
      </c>
      <c r="C255" t="s">
        <v>1010</v>
      </c>
      <c r="D255" t="s">
        <v>1020</v>
      </c>
      <c r="E255" s="47">
        <v>448</v>
      </c>
      <c r="F255" s="47">
        <v>634</v>
      </c>
      <c r="G255" s="47">
        <v>284032</v>
      </c>
      <c r="H255" s="47" t="s">
        <v>1025</v>
      </c>
      <c r="I255" s="50" t="s">
        <v>1026</v>
      </c>
      <c r="J255" s="48" t="s">
        <v>1031</v>
      </c>
      <c r="K255" s="47" t="str">
        <f t="shared" si="3"/>
        <v/>
      </c>
    </row>
    <row r="256" spans="1:11" x14ac:dyDescent="0.25">
      <c r="A256" t="s">
        <v>264</v>
      </c>
      <c r="B256" s="48">
        <v>46035</v>
      </c>
      <c r="C256" t="s">
        <v>1010</v>
      </c>
      <c r="D256" t="s">
        <v>1018</v>
      </c>
      <c r="E256" s="47">
        <v>286</v>
      </c>
      <c r="F256" s="47">
        <v>111</v>
      </c>
      <c r="G256" s="47">
        <v>31746</v>
      </c>
      <c r="H256" s="47" t="s">
        <v>1025</v>
      </c>
      <c r="I256" s="50" t="s">
        <v>1028</v>
      </c>
      <c r="J256" s="48">
        <v>46046</v>
      </c>
      <c r="K256" s="47">
        <f t="shared" si="3"/>
        <v>11</v>
      </c>
    </row>
    <row r="257" spans="1:11" x14ac:dyDescent="0.25">
      <c r="A257" t="s">
        <v>265</v>
      </c>
      <c r="B257" s="48">
        <v>45995</v>
      </c>
      <c r="C257" t="s">
        <v>1010</v>
      </c>
      <c r="D257" t="s">
        <v>1016</v>
      </c>
      <c r="E257" s="47">
        <v>369</v>
      </c>
      <c r="F257" s="47">
        <v>736</v>
      </c>
      <c r="G257" s="47">
        <v>271584</v>
      </c>
      <c r="H257" s="47" t="s">
        <v>1030</v>
      </c>
      <c r="I257" s="50" t="s">
        <v>1028</v>
      </c>
      <c r="J257" s="48">
        <v>46003</v>
      </c>
      <c r="K257" s="47">
        <f t="shared" si="3"/>
        <v>8</v>
      </c>
    </row>
    <row r="258" spans="1:11" x14ac:dyDescent="0.25">
      <c r="A258" t="s">
        <v>266</v>
      </c>
      <c r="B258" s="48">
        <v>45980</v>
      </c>
      <c r="C258" t="s">
        <v>1012</v>
      </c>
      <c r="D258" t="s">
        <v>1021</v>
      </c>
      <c r="E258" s="47">
        <v>106</v>
      </c>
      <c r="F258" s="47">
        <v>1323</v>
      </c>
      <c r="G258" s="47">
        <v>140238</v>
      </c>
      <c r="H258" s="47" t="s">
        <v>1027</v>
      </c>
      <c r="I258" s="50" t="s">
        <v>1029</v>
      </c>
      <c r="J258" s="48" t="s">
        <v>1031</v>
      </c>
      <c r="K258" s="47" t="str">
        <f t="shared" ref="K258:K321" si="4">IF(J258="", "", J258-B258)</f>
        <v/>
      </c>
    </row>
    <row r="259" spans="1:11" x14ac:dyDescent="0.25">
      <c r="A259" t="s">
        <v>267</v>
      </c>
      <c r="B259" s="48">
        <v>45902</v>
      </c>
      <c r="C259" t="s">
        <v>1014</v>
      </c>
      <c r="D259" t="s">
        <v>1022</v>
      </c>
      <c r="E259" s="47">
        <v>350</v>
      </c>
      <c r="F259" s="47">
        <v>896</v>
      </c>
      <c r="G259" s="47">
        <v>313600</v>
      </c>
      <c r="H259" s="47" t="s">
        <v>1027</v>
      </c>
      <c r="I259" s="50" t="s">
        <v>1026</v>
      </c>
      <c r="J259" s="48" t="s">
        <v>1031</v>
      </c>
      <c r="K259" s="47" t="str">
        <f t="shared" si="4"/>
        <v/>
      </c>
    </row>
    <row r="260" spans="1:11" x14ac:dyDescent="0.25">
      <c r="A260" t="s">
        <v>268</v>
      </c>
      <c r="B260" s="48">
        <v>46027</v>
      </c>
      <c r="C260" t="s">
        <v>1011</v>
      </c>
      <c r="D260" t="s">
        <v>1023</v>
      </c>
      <c r="E260" s="47">
        <v>331</v>
      </c>
      <c r="F260" s="47">
        <v>37</v>
      </c>
      <c r="G260" s="47">
        <v>12247</v>
      </c>
      <c r="H260" s="47" t="s">
        <v>1027</v>
      </c>
      <c r="I260" s="50" t="s">
        <v>1028</v>
      </c>
      <c r="J260" s="48">
        <v>46034</v>
      </c>
      <c r="K260" s="47">
        <f t="shared" si="4"/>
        <v>7</v>
      </c>
    </row>
    <row r="261" spans="1:11" x14ac:dyDescent="0.25">
      <c r="A261" t="s">
        <v>269</v>
      </c>
      <c r="B261" s="48">
        <v>45841</v>
      </c>
      <c r="C261" t="s">
        <v>1011</v>
      </c>
      <c r="D261" t="s">
        <v>1020</v>
      </c>
      <c r="E261" s="47">
        <v>351</v>
      </c>
      <c r="F261" s="47">
        <v>964</v>
      </c>
      <c r="G261" s="47">
        <v>338364</v>
      </c>
      <c r="H261" s="47" t="s">
        <v>1027</v>
      </c>
      <c r="I261" s="50" t="s">
        <v>1026</v>
      </c>
      <c r="J261" s="48" t="s">
        <v>1031</v>
      </c>
      <c r="K261" s="47" t="str">
        <f t="shared" si="4"/>
        <v/>
      </c>
    </row>
    <row r="262" spans="1:11" x14ac:dyDescent="0.25">
      <c r="A262" t="s">
        <v>270</v>
      </c>
      <c r="B262" s="48">
        <v>45776</v>
      </c>
      <c r="C262" t="s">
        <v>1011</v>
      </c>
      <c r="D262" t="s">
        <v>1015</v>
      </c>
      <c r="E262" s="47">
        <v>442</v>
      </c>
      <c r="F262" s="47">
        <v>603</v>
      </c>
      <c r="G262" s="47">
        <v>266526</v>
      </c>
      <c r="H262" s="47" t="s">
        <v>1025</v>
      </c>
      <c r="I262" s="50" t="s">
        <v>1026</v>
      </c>
      <c r="J262" s="48" t="s">
        <v>1031</v>
      </c>
      <c r="K262" s="47" t="str">
        <f t="shared" si="4"/>
        <v/>
      </c>
    </row>
    <row r="263" spans="1:11" x14ac:dyDescent="0.25">
      <c r="A263" t="s">
        <v>271</v>
      </c>
      <c r="B263" s="48">
        <v>45727</v>
      </c>
      <c r="C263" t="s">
        <v>1013</v>
      </c>
      <c r="D263" t="s">
        <v>1023</v>
      </c>
      <c r="E263" s="47">
        <v>404</v>
      </c>
      <c r="F263" s="47">
        <v>1770</v>
      </c>
      <c r="G263" s="47">
        <v>715080</v>
      </c>
      <c r="H263" s="47" t="s">
        <v>1030</v>
      </c>
      <c r="I263" s="50" t="s">
        <v>1028</v>
      </c>
      <c r="J263" s="48">
        <v>45741</v>
      </c>
      <c r="K263" s="47">
        <f t="shared" si="4"/>
        <v>14</v>
      </c>
    </row>
    <row r="264" spans="1:11" x14ac:dyDescent="0.25">
      <c r="A264" t="s">
        <v>272</v>
      </c>
      <c r="B264" s="48">
        <v>45674</v>
      </c>
      <c r="C264" t="s">
        <v>1013</v>
      </c>
      <c r="D264" t="s">
        <v>1023</v>
      </c>
      <c r="E264" s="47">
        <v>170</v>
      </c>
      <c r="F264" s="47">
        <v>1004</v>
      </c>
      <c r="G264" s="47">
        <v>170680</v>
      </c>
      <c r="H264" s="47" t="s">
        <v>1025</v>
      </c>
      <c r="I264" s="50" t="s">
        <v>1028</v>
      </c>
      <c r="J264" s="48">
        <v>45680</v>
      </c>
      <c r="K264" s="47">
        <f t="shared" si="4"/>
        <v>6</v>
      </c>
    </row>
    <row r="265" spans="1:11" x14ac:dyDescent="0.25">
      <c r="A265" t="s">
        <v>273</v>
      </c>
      <c r="B265" s="48">
        <v>45923</v>
      </c>
      <c r="C265" t="s">
        <v>1011</v>
      </c>
      <c r="D265" t="s">
        <v>1021</v>
      </c>
      <c r="E265" s="47">
        <v>306</v>
      </c>
      <c r="F265" s="47">
        <v>1985</v>
      </c>
      <c r="G265" s="47">
        <v>607410</v>
      </c>
      <c r="H265" s="47" t="s">
        <v>1030</v>
      </c>
      <c r="I265" s="50" t="s">
        <v>1026</v>
      </c>
      <c r="J265" s="48" t="s">
        <v>1031</v>
      </c>
      <c r="K265" s="47" t="str">
        <f t="shared" si="4"/>
        <v/>
      </c>
    </row>
    <row r="266" spans="1:11" x14ac:dyDescent="0.25">
      <c r="A266" t="s">
        <v>274</v>
      </c>
      <c r="B266" s="48">
        <v>45687</v>
      </c>
      <c r="C266" t="s">
        <v>1013</v>
      </c>
      <c r="D266" t="s">
        <v>1020</v>
      </c>
      <c r="E266" s="47">
        <v>114</v>
      </c>
      <c r="F266" s="47">
        <v>1939</v>
      </c>
      <c r="G266" s="47">
        <v>221046</v>
      </c>
      <c r="H266" s="47" t="s">
        <v>1030</v>
      </c>
      <c r="I266" s="50" t="s">
        <v>1029</v>
      </c>
      <c r="J266" s="48" t="s">
        <v>1031</v>
      </c>
      <c r="K266" s="47" t="str">
        <f t="shared" si="4"/>
        <v/>
      </c>
    </row>
    <row r="267" spans="1:11" x14ac:dyDescent="0.25">
      <c r="A267" t="s">
        <v>275</v>
      </c>
      <c r="B267" s="48">
        <v>45912</v>
      </c>
      <c r="C267" t="s">
        <v>1014</v>
      </c>
      <c r="D267" t="s">
        <v>1021</v>
      </c>
      <c r="E267" s="47">
        <v>407</v>
      </c>
      <c r="F267" s="47">
        <v>1549</v>
      </c>
      <c r="G267" s="47">
        <v>630443</v>
      </c>
      <c r="H267" s="47" t="s">
        <v>1025</v>
      </c>
      <c r="I267" s="50" t="s">
        <v>1028</v>
      </c>
      <c r="J267" s="48">
        <v>45926</v>
      </c>
      <c r="K267" s="47">
        <f t="shared" si="4"/>
        <v>14</v>
      </c>
    </row>
    <row r="268" spans="1:11" x14ac:dyDescent="0.25">
      <c r="A268" t="s">
        <v>276</v>
      </c>
      <c r="B268" s="48">
        <v>46024</v>
      </c>
      <c r="C268" t="s">
        <v>1011</v>
      </c>
      <c r="D268" t="s">
        <v>1020</v>
      </c>
      <c r="E268" s="47">
        <v>413</v>
      </c>
      <c r="F268" s="47">
        <v>691</v>
      </c>
      <c r="G268" s="47">
        <v>285383</v>
      </c>
      <c r="H268" s="47" t="s">
        <v>1030</v>
      </c>
      <c r="I268" s="50" t="s">
        <v>1029</v>
      </c>
      <c r="J268" s="48" t="s">
        <v>1031</v>
      </c>
      <c r="K268" s="47" t="str">
        <f t="shared" si="4"/>
        <v/>
      </c>
    </row>
    <row r="269" spans="1:11" x14ac:dyDescent="0.25">
      <c r="A269" t="s">
        <v>277</v>
      </c>
      <c r="B269" s="48">
        <v>45916</v>
      </c>
      <c r="C269" t="s">
        <v>1011</v>
      </c>
      <c r="D269" t="s">
        <v>1024</v>
      </c>
      <c r="E269" s="47">
        <v>264</v>
      </c>
      <c r="F269" s="47">
        <v>1643</v>
      </c>
      <c r="G269" s="47">
        <v>433752</v>
      </c>
      <c r="H269" s="47" t="s">
        <v>1030</v>
      </c>
      <c r="I269" s="50" t="s">
        <v>1029</v>
      </c>
      <c r="J269" s="48" t="s">
        <v>1031</v>
      </c>
      <c r="K269" s="47" t="str">
        <f t="shared" si="4"/>
        <v/>
      </c>
    </row>
    <row r="270" spans="1:11" x14ac:dyDescent="0.25">
      <c r="A270" t="s">
        <v>278</v>
      </c>
      <c r="B270" s="48">
        <v>46036</v>
      </c>
      <c r="C270" t="s">
        <v>1012</v>
      </c>
      <c r="D270" t="s">
        <v>1023</v>
      </c>
      <c r="E270" s="47">
        <v>471</v>
      </c>
      <c r="F270" s="47">
        <v>1836</v>
      </c>
      <c r="G270" s="47">
        <v>864756</v>
      </c>
      <c r="H270" s="47" t="s">
        <v>1027</v>
      </c>
      <c r="I270" s="50" t="s">
        <v>1026</v>
      </c>
      <c r="J270" s="48" t="s">
        <v>1031</v>
      </c>
      <c r="K270" s="47" t="str">
        <f t="shared" si="4"/>
        <v/>
      </c>
    </row>
    <row r="271" spans="1:11" x14ac:dyDescent="0.25">
      <c r="A271" t="s">
        <v>279</v>
      </c>
      <c r="B271" s="48">
        <v>45929</v>
      </c>
      <c r="C271" t="s">
        <v>1011</v>
      </c>
      <c r="D271" t="s">
        <v>1016</v>
      </c>
      <c r="E271" s="47">
        <v>481</v>
      </c>
      <c r="F271" s="47">
        <v>606</v>
      </c>
      <c r="G271" s="47">
        <v>291486</v>
      </c>
      <c r="H271" s="47" t="s">
        <v>1030</v>
      </c>
      <c r="I271" s="50" t="s">
        <v>1028</v>
      </c>
      <c r="J271" s="48">
        <v>45935</v>
      </c>
      <c r="K271" s="47">
        <f t="shared" si="4"/>
        <v>6</v>
      </c>
    </row>
    <row r="272" spans="1:11" x14ac:dyDescent="0.25">
      <c r="A272" t="s">
        <v>280</v>
      </c>
      <c r="B272" s="48">
        <v>45793</v>
      </c>
      <c r="C272" t="s">
        <v>1011</v>
      </c>
      <c r="D272" t="s">
        <v>1020</v>
      </c>
      <c r="E272" s="47">
        <v>437</v>
      </c>
      <c r="F272" s="47">
        <v>1988</v>
      </c>
      <c r="G272" s="47">
        <v>868756</v>
      </c>
      <c r="H272" s="47" t="s">
        <v>1030</v>
      </c>
      <c r="I272" s="50" t="s">
        <v>1028</v>
      </c>
      <c r="J272" s="48">
        <v>45808</v>
      </c>
      <c r="K272" s="47">
        <f t="shared" si="4"/>
        <v>15</v>
      </c>
    </row>
    <row r="273" spans="1:11" x14ac:dyDescent="0.25">
      <c r="A273" t="s">
        <v>281</v>
      </c>
      <c r="B273" s="48">
        <v>46028</v>
      </c>
      <c r="C273" t="s">
        <v>1011</v>
      </c>
      <c r="D273" t="s">
        <v>1015</v>
      </c>
      <c r="E273" s="47">
        <v>392</v>
      </c>
      <c r="F273" s="47">
        <v>1137</v>
      </c>
      <c r="G273" s="47">
        <v>445704</v>
      </c>
      <c r="H273" s="47" t="s">
        <v>1030</v>
      </c>
      <c r="I273" s="50" t="s">
        <v>1029</v>
      </c>
      <c r="J273" s="48" t="s">
        <v>1031</v>
      </c>
      <c r="K273" s="47" t="str">
        <f t="shared" si="4"/>
        <v/>
      </c>
    </row>
    <row r="274" spans="1:11" x14ac:dyDescent="0.25">
      <c r="A274" t="s">
        <v>282</v>
      </c>
      <c r="B274" s="48">
        <v>45818</v>
      </c>
      <c r="C274" t="s">
        <v>1014</v>
      </c>
      <c r="D274" t="s">
        <v>1022</v>
      </c>
      <c r="E274" s="47">
        <v>495</v>
      </c>
      <c r="F274" s="47">
        <v>1280</v>
      </c>
      <c r="G274" s="47">
        <v>633600</v>
      </c>
      <c r="H274" s="47" t="s">
        <v>1027</v>
      </c>
      <c r="I274" s="50" t="s">
        <v>1029</v>
      </c>
      <c r="J274" s="48" t="s">
        <v>1031</v>
      </c>
      <c r="K274" s="47" t="str">
        <f t="shared" si="4"/>
        <v/>
      </c>
    </row>
    <row r="275" spans="1:11" x14ac:dyDescent="0.25">
      <c r="A275" t="s">
        <v>283</v>
      </c>
      <c r="B275" s="48">
        <v>45884</v>
      </c>
      <c r="C275" t="s">
        <v>1011</v>
      </c>
      <c r="D275" t="s">
        <v>1021</v>
      </c>
      <c r="E275" s="47">
        <v>362</v>
      </c>
      <c r="F275" s="47">
        <v>1941</v>
      </c>
      <c r="G275" s="47">
        <v>702642</v>
      </c>
      <c r="H275" s="47" t="s">
        <v>1027</v>
      </c>
      <c r="I275" s="50" t="s">
        <v>1029</v>
      </c>
      <c r="J275" s="48" t="s">
        <v>1031</v>
      </c>
      <c r="K275" s="47" t="str">
        <f t="shared" si="4"/>
        <v/>
      </c>
    </row>
    <row r="276" spans="1:11" x14ac:dyDescent="0.25">
      <c r="A276" t="s">
        <v>284</v>
      </c>
      <c r="B276" s="48">
        <v>45803</v>
      </c>
      <c r="C276" t="s">
        <v>1012</v>
      </c>
      <c r="D276" t="s">
        <v>1017</v>
      </c>
      <c r="E276" s="47">
        <v>28</v>
      </c>
      <c r="F276" s="47">
        <v>292</v>
      </c>
      <c r="G276" s="47">
        <v>8176</v>
      </c>
      <c r="H276" s="47" t="s">
        <v>1027</v>
      </c>
      <c r="I276" s="50" t="s">
        <v>1029</v>
      </c>
      <c r="J276" s="48" t="s">
        <v>1031</v>
      </c>
      <c r="K276" s="47" t="str">
        <f t="shared" si="4"/>
        <v/>
      </c>
    </row>
    <row r="277" spans="1:11" x14ac:dyDescent="0.25">
      <c r="A277" t="s">
        <v>285</v>
      </c>
      <c r="B277" s="48">
        <v>45680</v>
      </c>
      <c r="C277" t="s">
        <v>1010</v>
      </c>
      <c r="D277" t="s">
        <v>1016</v>
      </c>
      <c r="E277" s="47">
        <v>370</v>
      </c>
      <c r="F277" s="47">
        <v>864</v>
      </c>
      <c r="G277" s="47">
        <v>319680</v>
      </c>
      <c r="H277" s="47" t="s">
        <v>1027</v>
      </c>
      <c r="I277" s="50" t="s">
        <v>1029</v>
      </c>
      <c r="J277" s="48" t="s">
        <v>1031</v>
      </c>
      <c r="K277" s="47" t="str">
        <f t="shared" si="4"/>
        <v/>
      </c>
    </row>
    <row r="278" spans="1:11" x14ac:dyDescent="0.25">
      <c r="A278" t="s">
        <v>286</v>
      </c>
      <c r="B278" s="48">
        <v>45909</v>
      </c>
      <c r="C278" t="s">
        <v>1012</v>
      </c>
      <c r="D278" t="s">
        <v>1020</v>
      </c>
      <c r="E278" s="47">
        <v>202</v>
      </c>
      <c r="F278" s="47">
        <v>1419</v>
      </c>
      <c r="G278" s="47">
        <v>286638</v>
      </c>
      <c r="H278" s="47" t="s">
        <v>1025</v>
      </c>
      <c r="I278" s="50" t="s">
        <v>1026</v>
      </c>
      <c r="J278" s="48" t="s">
        <v>1031</v>
      </c>
      <c r="K278" s="47" t="str">
        <f t="shared" si="4"/>
        <v/>
      </c>
    </row>
    <row r="279" spans="1:11" x14ac:dyDescent="0.25">
      <c r="A279" t="s">
        <v>287</v>
      </c>
      <c r="B279" s="48">
        <v>45819</v>
      </c>
      <c r="C279" t="s">
        <v>1012</v>
      </c>
      <c r="D279" t="s">
        <v>1023</v>
      </c>
      <c r="E279" s="47">
        <v>337</v>
      </c>
      <c r="F279" s="47">
        <v>1043</v>
      </c>
      <c r="G279" s="47">
        <v>351491</v>
      </c>
      <c r="H279" s="47" t="s">
        <v>1027</v>
      </c>
      <c r="I279" s="50" t="s">
        <v>1029</v>
      </c>
      <c r="J279" s="48" t="s">
        <v>1031</v>
      </c>
      <c r="K279" s="47" t="str">
        <f t="shared" si="4"/>
        <v/>
      </c>
    </row>
    <row r="280" spans="1:11" x14ac:dyDescent="0.25">
      <c r="A280" t="s">
        <v>288</v>
      </c>
      <c r="B280" s="48">
        <v>45929</v>
      </c>
      <c r="C280" t="s">
        <v>1010</v>
      </c>
      <c r="D280" t="s">
        <v>1019</v>
      </c>
      <c r="E280" s="47">
        <v>102</v>
      </c>
      <c r="F280" s="47">
        <v>753</v>
      </c>
      <c r="G280" s="47">
        <v>76806</v>
      </c>
      <c r="H280" s="47" t="s">
        <v>1025</v>
      </c>
      <c r="I280" s="50" t="s">
        <v>1029</v>
      </c>
      <c r="J280" s="48" t="s">
        <v>1031</v>
      </c>
      <c r="K280" s="47" t="str">
        <f t="shared" si="4"/>
        <v/>
      </c>
    </row>
    <row r="281" spans="1:11" x14ac:dyDescent="0.25">
      <c r="A281" t="s">
        <v>289</v>
      </c>
      <c r="B281" s="48">
        <v>45672</v>
      </c>
      <c r="C281" t="s">
        <v>1014</v>
      </c>
      <c r="D281" t="s">
        <v>1024</v>
      </c>
      <c r="E281" s="47">
        <v>185</v>
      </c>
      <c r="F281" s="47">
        <v>1692</v>
      </c>
      <c r="G281" s="47">
        <v>313020</v>
      </c>
      <c r="H281" s="47" t="s">
        <v>1025</v>
      </c>
      <c r="I281" s="50" t="s">
        <v>1029</v>
      </c>
      <c r="J281" s="48" t="s">
        <v>1031</v>
      </c>
      <c r="K281" s="47" t="str">
        <f t="shared" si="4"/>
        <v/>
      </c>
    </row>
    <row r="282" spans="1:11" x14ac:dyDescent="0.25">
      <c r="A282" t="s">
        <v>290</v>
      </c>
      <c r="B282" s="48">
        <v>45847</v>
      </c>
      <c r="C282" t="s">
        <v>1010</v>
      </c>
      <c r="D282" t="s">
        <v>1018</v>
      </c>
      <c r="E282" s="47">
        <v>309</v>
      </c>
      <c r="F282" s="47">
        <v>1328</v>
      </c>
      <c r="G282" s="47">
        <v>410352</v>
      </c>
      <c r="H282" s="47" t="s">
        <v>1027</v>
      </c>
      <c r="I282" s="50" t="s">
        <v>1029</v>
      </c>
      <c r="J282" s="48" t="s">
        <v>1031</v>
      </c>
      <c r="K282" s="47" t="str">
        <f t="shared" si="4"/>
        <v/>
      </c>
    </row>
    <row r="283" spans="1:11" x14ac:dyDescent="0.25">
      <c r="A283" t="s">
        <v>291</v>
      </c>
      <c r="B283" s="48">
        <v>45887</v>
      </c>
      <c r="C283" t="s">
        <v>1014</v>
      </c>
      <c r="D283" t="s">
        <v>1021</v>
      </c>
      <c r="E283" s="47">
        <v>438</v>
      </c>
      <c r="F283" s="47">
        <v>178</v>
      </c>
      <c r="G283" s="47">
        <v>77964</v>
      </c>
      <c r="H283" s="47" t="s">
        <v>1027</v>
      </c>
      <c r="I283" s="50" t="s">
        <v>1028</v>
      </c>
      <c r="J283" s="48">
        <v>45897</v>
      </c>
      <c r="K283" s="47">
        <f t="shared" si="4"/>
        <v>10</v>
      </c>
    </row>
    <row r="284" spans="1:11" x14ac:dyDescent="0.25">
      <c r="A284" t="s">
        <v>292</v>
      </c>
      <c r="B284" s="48">
        <v>45956</v>
      </c>
      <c r="C284" t="s">
        <v>1010</v>
      </c>
      <c r="D284" t="s">
        <v>1021</v>
      </c>
      <c r="E284" s="47">
        <v>492</v>
      </c>
      <c r="F284" s="47">
        <v>1865</v>
      </c>
      <c r="G284" s="47">
        <v>917580</v>
      </c>
      <c r="H284" s="47" t="s">
        <v>1025</v>
      </c>
      <c r="I284" s="50" t="s">
        <v>1026</v>
      </c>
      <c r="J284" s="48" t="s">
        <v>1031</v>
      </c>
      <c r="K284" s="47" t="str">
        <f t="shared" si="4"/>
        <v/>
      </c>
    </row>
    <row r="285" spans="1:11" x14ac:dyDescent="0.25">
      <c r="A285" t="s">
        <v>293</v>
      </c>
      <c r="B285" s="48">
        <v>45974</v>
      </c>
      <c r="C285" t="s">
        <v>1013</v>
      </c>
      <c r="D285" t="s">
        <v>1017</v>
      </c>
      <c r="E285" s="47">
        <v>278</v>
      </c>
      <c r="F285" s="47">
        <v>460</v>
      </c>
      <c r="G285" s="47">
        <v>127880</v>
      </c>
      <c r="H285" s="47" t="s">
        <v>1027</v>
      </c>
      <c r="I285" s="50" t="s">
        <v>1028</v>
      </c>
      <c r="J285" s="48">
        <v>45980</v>
      </c>
      <c r="K285" s="47">
        <f t="shared" si="4"/>
        <v>6</v>
      </c>
    </row>
    <row r="286" spans="1:11" x14ac:dyDescent="0.25">
      <c r="A286" t="s">
        <v>294</v>
      </c>
      <c r="B286" s="48">
        <v>45892</v>
      </c>
      <c r="C286" t="s">
        <v>1010</v>
      </c>
      <c r="D286" t="s">
        <v>1019</v>
      </c>
      <c r="E286" s="47">
        <v>206</v>
      </c>
      <c r="F286" s="47">
        <v>853</v>
      </c>
      <c r="G286" s="47">
        <v>175718</v>
      </c>
      <c r="H286" s="47" t="s">
        <v>1027</v>
      </c>
      <c r="I286" s="50" t="s">
        <v>1026</v>
      </c>
      <c r="J286" s="48" t="s">
        <v>1031</v>
      </c>
      <c r="K286" s="47" t="str">
        <f t="shared" si="4"/>
        <v/>
      </c>
    </row>
    <row r="287" spans="1:11" x14ac:dyDescent="0.25">
      <c r="A287" t="s">
        <v>295</v>
      </c>
      <c r="B287" s="48">
        <v>45930</v>
      </c>
      <c r="C287" t="s">
        <v>1013</v>
      </c>
      <c r="D287" t="s">
        <v>1024</v>
      </c>
      <c r="E287" s="47">
        <v>332</v>
      </c>
      <c r="F287" s="47">
        <v>348</v>
      </c>
      <c r="G287" s="47">
        <v>115536</v>
      </c>
      <c r="H287" s="47" t="s">
        <v>1030</v>
      </c>
      <c r="I287" s="50" t="s">
        <v>1029</v>
      </c>
      <c r="J287" s="48" t="s">
        <v>1031</v>
      </c>
      <c r="K287" s="47" t="str">
        <f t="shared" si="4"/>
        <v/>
      </c>
    </row>
    <row r="288" spans="1:11" x14ac:dyDescent="0.25">
      <c r="A288" t="s">
        <v>296</v>
      </c>
      <c r="B288" s="48">
        <v>45778</v>
      </c>
      <c r="C288" t="s">
        <v>1010</v>
      </c>
      <c r="D288" t="s">
        <v>1020</v>
      </c>
      <c r="E288" s="47">
        <v>144</v>
      </c>
      <c r="F288" s="47">
        <v>541</v>
      </c>
      <c r="G288" s="47">
        <v>77904</v>
      </c>
      <c r="H288" s="47" t="s">
        <v>1025</v>
      </c>
      <c r="I288" s="50" t="s">
        <v>1028</v>
      </c>
      <c r="J288" s="48">
        <v>45788</v>
      </c>
      <c r="K288" s="47">
        <f t="shared" si="4"/>
        <v>10</v>
      </c>
    </row>
    <row r="289" spans="1:11" x14ac:dyDescent="0.25">
      <c r="A289" t="s">
        <v>297</v>
      </c>
      <c r="B289" s="48">
        <v>45772</v>
      </c>
      <c r="C289" t="s">
        <v>1013</v>
      </c>
      <c r="D289" t="s">
        <v>1015</v>
      </c>
      <c r="E289" s="47">
        <v>337</v>
      </c>
      <c r="F289" s="47">
        <v>740</v>
      </c>
      <c r="G289" s="47">
        <v>249380</v>
      </c>
      <c r="H289" s="47" t="s">
        <v>1025</v>
      </c>
      <c r="I289" s="50" t="s">
        <v>1029</v>
      </c>
      <c r="J289" s="48" t="s">
        <v>1031</v>
      </c>
      <c r="K289" s="47" t="str">
        <f t="shared" si="4"/>
        <v/>
      </c>
    </row>
    <row r="290" spans="1:11" x14ac:dyDescent="0.25">
      <c r="A290" t="s">
        <v>298</v>
      </c>
      <c r="B290" s="48">
        <v>45711</v>
      </c>
      <c r="C290" t="s">
        <v>1010</v>
      </c>
      <c r="D290" t="s">
        <v>1023</v>
      </c>
      <c r="E290" s="47">
        <v>224</v>
      </c>
      <c r="F290" s="47">
        <v>1935</v>
      </c>
      <c r="G290" s="47">
        <v>433440</v>
      </c>
      <c r="H290" s="47" t="s">
        <v>1030</v>
      </c>
      <c r="I290" s="50" t="s">
        <v>1028</v>
      </c>
      <c r="J290" s="48">
        <v>45723</v>
      </c>
      <c r="K290" s="47">
        <f t="shared" si="4"/>
        <v>12</v>
      </c>
    </row>
    <row r="291" spans="1:11" x14ac:dyDescent="0.25">
      <c r="A291" t="s">
        <v>299</v>
      </c>
      <c r="B291" s="48">
        <v>45712</v>
      </c>
      <c r="C291" t="s">
        <v>1014</v>
      </c>
      <c r="D291" t="s">
        <v>1015</v>
      </c>
      <c r="E291" s="47">
        <v>466</v>
      </c>
      <c r="F291" s="47">
        <v>415</v>
      </c>
      <c r="G291" s="47">
        <v>193390</v>
      </c>
      <c r="H291" s="47" t="s">
        <v>1027</v>
      </c>
      <c r="I291" s="50" t="s">
        <v>1028</v>
      </c>
      <c r="J291" s="48">
        <v>45719</v>
      </c>
      <c r="K291" s="47">
        <f t="shared" si="4"/>
        <v>7</v>
      </c>
    </row>
    <row r="292" spans="1:11" x14ac:dyDescent="0.25">
      <c r="A292" t="s">
        <v>300</v>
      </c>
      <c r="B292" s="48">
        <v>45912</v>
      </c>
      <c r="C292" t="s">
        <v>1014</v>
      </c>
      <c r="D292" t="s">
        <v>1016</v>
      </c>
      <c r="E292" s="47">
        <v>380</v>
      </c>
      <c r="F292" s="47">
        <v>816</v>
      </c>
      <c r="G292" s="47">
        <v>310080</v>
      </c>
      <c r="H292" s="47" t="s">
        <v>1027</v>
      </c>
      <c r="I292" s="50" t="s">
        <v>1026</v>
      </c>
      <c r="J292" s="48" t="s">
        <v>1031</v>
      </c>
      <c r="K292" s="47" t="str">
        <f t="shared" si="4"/>
        <v/>
      </c>
    </row>
    <row r="293" spans="1:11" x14ac:dyDescent="0.25">
      <c r="A293" t="s">
        <v>301</v>
      </c>
      <c r="B293" s="48">
        <v>45822</v>
      </c>
      <c r="C293" t="s">
        <v>1013</v>
      </c>
      <c r="D293" t="s">
        <v>1018</v>
      </c>
      <c r="E293" s="47">
        <v>29</v>
      </c>
      <c r="F293" s="47">
        <v>289</v>
      </c>
      <c r="G293" s="47">
        <v>8381</v>
      </c>
      <c r="H293" s="47" t="s">
        <v>1027</v>
      </c>
      <c r="I293" s="50" t="s">
        <v>1028</v>
      </c>
      <c r="J293" s="48">
        <v>45829</v>
      </c>
      <c r="K293" s="47">
        <f t="shared" si="4"/>
        <v>7</v>
      </c>
    </row>
    <row r="294" spans="1:11" x14ac:dyDescent="0.25">
      <c r="A294" t="s">
        <v>302</v>
      </c>
      <c r="B294" s="48">
        <v>45851</v>
      </c>
      <c r="C294" t="s">
        <v>1013</v>
      </c>
      <c r="D294" t="s">
        <v>1021</v>
      </c>
      <c r="E294" s="47">
        <v>139</v>
      </c>
      <c r="F294" s="47">
        <v>832</v>
      </c>
      <c r="G294" s="47">
        <v>115648</v>
      </c>
      <c r="H294" s="47" t="s">
        <v>1027</v>
      </c>
      <c r="I294" s="50" t="s">
        <v>1026</v>
      </c>
      <c r="J294" s="48" t="s">
        <v>1031</v>
      </c>
      <c r="K294" s="47" t="str">
        <f t="shared" si="4"/>
        <v/>
      </c>
    </row>
    <row r="295" spans="1:11" x14ac:dyDescent="0.25">
      <c r="A295" t="s">
        <v>303</v>
      </c>
      <c r="B295" s="48">
        <v>45737</v>
      </c>
      <c r="C295" t="s">
        <v>1010</v>
      </c>
      <c r="D295" t="s">
        <v>1016</v>
      </c>
      <c r="E295" s="47">
        <v>138</v>
      </c>
      <c r="F295" s="47">
        <v>1340</v>
      </c>
      <c r="G295" s="47">
        <v>184920</v>
      </c>
      <c r="H295" s="47" t="s">
        <v>1025</v>
      </c>
      <c r="I295" s="50" t="s">
        <v>1026</v>
      </c>
      <c r="J295" s="48" t="s">
        <v>1031</v>
      </c>
      <c r="K295" s="47" t="str">
        <f t="shared" si="4"/>
        <v/>
      </c>
    </row>
    <row r="296" spans="1:11" x14ac:dyDescent="0.25">
      <c r="A296" t="s">
        <v>304</v>
      </c>
      <c r="B296" s="48">
        <v>46010</v>
      </c>
      <c r="C296" t="s">
        <v>1014</v>
      </c>
      <c r="D296" t="s">
        <v>1020</v>
      </c>
      <c r="E296" s="47">
        <v>110</v>
      </c>
      <c r="F296" s="47">
        <v>1440</v>
      </c>
      <c r="G296" s="47">
        <v>158400</v>
      </c>
      <c r="H296" s="47" t="s">
        <v>1030</v>
      </c>
      <c r="I296" s="50" t="s">
        <v>1029</v>
      </c>
      <c r="J296" s="48" t="s">
        <v>1031</v>
      </c>
      <c r="K296" s="47" t="str">
        <f t="shared" si="4"/>
        <v/>
      </c>
    </row>
    <row r="297" spans="1:11" x14ac:dyDescent="0.25">
      <c r="A297" t="s">
        <v>305</v>
      </c>
      <c r="B297" s="48">
        <v>45788</v>
      </c>
      <c r="C297" t="s">
        <v>1013</v>
      </c>
      <c r="D297" t="s">
        <v>1022</v>
      </c>
      <c r="E297" s="47">
        <v>23</v>
      </c>
      <c r="F297" s="47">
        <v>393</v>
      </c>
      <c r="G297" s="47">
        <v>9039</v>
      </c>
      <c r="H297" s="47" t="s">
        <v>1030</v>
      </c>
      <c r="I297" s="50" t="s">
        <v>1029</v>
      </c>
      <c r="J297" s="48" t="s">
        <v>1031</v>
      </c>
      <c r="K297" s="47" t="str">
        <f t="shared" si="4"/>
        <v/>
      </c>
    </row>
    <row r="298" spans="1:11" x14ac:dyDescent="0.25">
      <c r="A298" t="s">
        <v>306</v>
      </c>
      <c r="B298" s="48">
        <v>45826</v>
      </c>
      <c r="C298" t="s">
        <v>1011</v>
      </c>
      <c r="D298" t="s">
        <v>1019</v>
      </c>
      <c r="E298" s="47">
        <v>230</v>
      </c>
      <c r="F298" s="47">
        <v>1264</v>
      </c>
      <c r="G298" s="47">
        <v>290720</v>
      </c>
      <c r="H298" s="47" t="s">
        <v>1025</v>
      </c>
      <c r="I298" s="50" t="s">
        <v>1026</v>
      </c>
      <c r="J298" s="48" t="s">
        <v>1031</v>
      </c>
      <c r="K298" s="47" t="str">
        <f t="shared" si="4"/>
        <v/>
      </c>
    </row>
    <row r="299" spans="1:11" x14ac:dyDescent="0.25">
      <c r="A299" t="s">
        <v>307</v>
      </c>
      <c r="B299" s="48">
        <v>45796</v>
      </c>
      <c r="C299" t="s">
        <v>1013</v>
      </c>
      <c r="D299" t="s">
        <v>1018</v>
      </c>
      <c r="E299" s="47">
        <v>339</v>
      </c>
      <c r="F299" s="47">
        <v>375</v>
      </c>
      <c r="G299" s="47">
        <v>127125</v>
      </c>
      <c r="H299" s="47" t="s">
        <v>1030</v>
      </c>
      <c r="I299" s="50" t="s">
        <v>1026</v>
      </c>
      <c r="J299" s="48" t="s">
        <v>1031</v>
      </c>
      <c r="K299" s="47" t="str">
        <f t="shared" si="4"/>
        <v/>
      </c>
    </row>
    <row r="300" spans="1:11" x14ac:dyDescent="0.25">
      <c r="A300" t="s">
        <v>308</v>
      </c>
      <c r="B300" s="48">
        <v>45751</v>
      </c>
      <c r="C300" t="s">
        <v>1011</v>
      </c>
      <c r="D300" t="s">
        <v>1016</v>
      </c>
      <c r="E300" s="47">
        <v>91</v>
      </c>
      <c r="F300" s="47">
        <v>558</v>
      </c>
      <c r="G300" s="47">
        <v>50778</v>
      </c>
      <c r="H300" s="47" t="s">
        <v>1027</v>
      </c>
      <c r="I300" s="50" t="s">
        <v>1026</v>
      </c>
      <c r="J300" s="48" t="s">
        <v>1031</v>
      </c>
      <c r="K300" s="47" t="str">
        <f t="shared" si="4"/>
        <v/>
      </c>
    </row>
    <row r="301" spans="1:11" x14ac:dyDescent="0.25">
      <c r="A301" t="s">
        <v>309</v>
      </c>
      <c r="B301" s="48">
        <v>45898</v>
      </c>
      <c r="C301" t="s">
        <v>1010</v>
      </c>
      <c r="D301" t="s">
        <v>1019</v>
      </c>
      <c r="E301" s="47">
        <v>497</v>
      </c>
      <c r="F301" s="47">
        <v>971</v>
      </c>
      <c r="G301" s="47">
        <v>482587</v>
      </c>
      <c r="H301" s="47" t="s">
        <v>1030</v>
      </c>
      <c r="I301" s="50" t="s">
        <v>1029</v>
      </c>
      <c r="J301" s="48" t="s">
        <v>1031</v>
      </c>
      <c r="K301" s="47" t="str">
        <f t="shared" si="4"/>
        <v/>
      </c>
    </row>
    <row r="302" spans="1:11" x14ac:dyDescent="0.25">
      <c r="A302" t="s">
        <v>310</v>
      </c>
      <c r="B302" s="48">
        <v>45696</v>
      </c>
      <c r="C302" t="s">
        <v>1014</v>
      </c>
      <c r="D302" t="s">
        <v>1022</v>
      </c>
      <c r="E302" s="47">
        <v>136</v>
      </c>
      <c r="F302" s="47">
        <v>1864</v>
      </c>
      <c r="G302" s="47">
        <v>253504</v>
      </c>
      <c r="H302" s="47" t="s">
        <v>1027</v>
      </c>
      <c r="I302" s="50" t="s">
        <v>1029</v>
      </c>
      <c r="J302" s="48" t="s">
        <v>1031</v>
      </c>
      <c r="K302" s="47" t="str">
        <f t="shared" si="4"/>
        <v/>
      </c>
    </row>
    <row r="303" spans="1:11" x14ac:dyDescent="0.25">
      <c r="A303" t="s">
        <v>311</v>
      </c>
      <c r="B303" s="48">
        <v>45986</v>
      </c>
      <c r="C303" t="s">
        <v>1010</v>
      </c>
      <c r="D303" t="s">
        <v>1015</v>
      </c>
      <c r="E303" s="47">
        <v>414</v>
      </c>
      <c r="F303" s="47">
        <v>926</v>
      </c>
      <c r="G303" s="47">
        <v>383364</v>
      </c>
      <c r="H303" s="47" t="s">
        <v>1027</v>
      </c>
      <c r="I303" s="50" t="s">
        <v>1029</v>
      </c>
      <c r="J303" s="48" t="s">
        <v>1031</v>
      </c>
      <c r="K303" s="47" t="str">
        <f t="shared" si="4"/>
        <v/>
      </c>
    </row>
    <row r="304" spans="1:11" x14ac:dyDescent="0.25">
      <c r="A304" t="s">
        <v>312</v>
      </c>
      <c r="B304" s="48">
        <v>45890</v>
      </c>
      <c r="C304" t="s">
        <v>1010</v>
      </c>
      <c r="D304" t="s">
        <v>1022</v>
      </c>
      <c r="E304" s="47">
        <v>298</v>
      </c>
      <c r="F304" s="47">
        <v>1655</v>
      </c>
      <c r="G304" s="47">
        <v>493190</v>
      </c>
      <c r="H304" s="47" t="s">
        <v>1025</v>
      </c>
      <c r="I304" s="50" t="s">
        <v>1028</v>
      </c>
      <c r="J304" s="48">
        <v>45905</v>
      </c>
      <c r="K304" s="47">
        <f t="shared" si="4"/>
        <v>15</v>
      </c>
    </row>
    <row r="305" spans="1:11" x14ac:dyDescent="0.25">
      <c r="A305" t="s">
        <v>313</v>
      </c>
      <c r="B305" s="48">
        <v>46023</v>
      </c>
      <c r="C305" t="s">
        <v>1013</v>
      </c>
      <c r="D305" t="s">
        <v>1018</v>
      </c>
      <c r="E305" s="47">
        <v>490</v>
      </c>
      <c r="F305" s="47">
        <v>240</v>
      </c>
      <c r="G305" s="47">
        <v>117600</v>
      </c>
      <c r="H305" s="47" t="s">
        <v>1025</v>
      </c>
      <c r="I305" s="50" t="s">
        <v>1026</v>
      </c>
      <c r="J305" s="48" t="s">
        <v>1031</v>
      </c>
      <c r="K305" s="47" t="str">
        <f t="shared" si="4"/>
        <v/>
      </c>
    </row>
    <row r="306" spans="1:11" x14ac:dyDescent="0.25">
      <c r="A306" t="s">
        <v>314</v>
      </c>
      <c r="B306" s="48">
        <v>46037</v>
      </c>
      <c r="C306" t="s">
        <v>1011</v>
      </c>
      <c r="D306" t="s">
        <v>1022</v>
      </c>
      <c r="E306" s="47">
        <v>148</v>
      </c>
      <c r="F306" s="47">
        <v>599</v>
      </c>
      <c r="G306" s="47">
        <v>88652</v>
      </c>
      <c r="H306" s="47" t="s">
        <v>1025</v>
      </c>
      <c r="I306" s="50" t="s">
        <v>1029</v>
      </c>
      <c r="J306" s="48" t="s">
        <v>1031</v>
      </c>
      <c r="K306" s="47" t="str">
        <f t="shared" si="4"/>
        <v/>
      </c>
    </row>
    <row r="307" spans="1:11" x14ac:dyDescent="0.25">
      <c r="A307" t="s">
        <v>315</v>
      </c>
      <c r="B307" s="48">
        <v>45751</v>
      </c>
      <c r="C307" t="s">
        <v>1014</v>
      </c>
      <c r="D307" t="s">
        <v>1016</v>
      </c>
      <c r="E307" s="47">
        <v>493</v>
      </c>
      <c r="F307" s="47">
        <v>143</v>
      </c>
      <c r="G307" s="47">
        <v>70499</v>
      </c>
      <c r="H307" s="47" t="s">
        <v>1030</v>
      </c>
      <c r="I307" s="50" t="s">
        <v>1029</v>
      </c>
      <c r="J307" s="48" t="s">
        <v>1031</v>
      </c>
      <c r="K307" s="47" t="str">
        <f t="shared" si="4"/>
        <v/>
      </c>
    </row>
    <row r="308" spans="1:11" x14ac:dyDescent="0.25">
      <c r="A308" t="s">
        <v>316</v>
      </c>
      <c r="B308" s="48">
        <v>45842</v>
      </c>
      <c r="C308" t="s">
        <v>1014</v>
      </c>
      <c r="D308" t="s">
        <v>1021</v>
      </c>
      <c r="E308" s="47">
        <v>303</v>
      </c>
      <c r="F308" s="47">
        <v>1150</v>
      </c>
      <c r="G308" s="47">
        <v>348450</v>
      </c>
      <c r="H308" s="47" t="s">
        <v>1025</v>
      </c>
      <c r="I308" s="50" t="s">
        <v>1029</v>
      </c>
      <c r="J308" s="48" t="s">
        <v>1031</v>
      </c>
      <c r="K308" s="47" t="str">
        <f t="shared" si="4"/>
        <v/>
      </c>
    </row>
    <row r="309" spans="1:11" x14ac:dyDescent="0.25">
      <c r="A309" t="s">
        <v>317</v>
      </c>
      <c r="B309" s="48">
        <v>46047</v>
      </c>
      <c r="C309" t="s">
        <v>1014</v>
      </c>
      <c r="D309" t="s">
        <v>1024</v>
      </c>
      <c r="E309" s="47">
        <v>266</v>
      </c>
      <c r="F309" s="47">
        <v>1304</v>
      </c>
      <c r="G309" s="47">
        <v>346864</v>
      </c>
      <c r="H309" s="47" t="s">
        <v>1027</v>
      </c>
      <c r="I309" s="50" t="s">
        <v>1026</v>
      </c>
      <c r="J309" s="48" t="s">
        <v>1031</v>
      </c>
      <c r="K309" s="47" t="str">
        <f t="shared" si="4"/>
        <v/>
      </c>
    </row>
    <row r="310" spans="1:11" x14ac:dyDescent="0.25">
      <c r="A310" t="s">
        <v>318</v>
      </c>
      <c r="B310" s="48">
        <v>46028</v>
      </c>
      <c r="C310" t="s">
        <v>1012</v>
      </c>
      <c r="D310" t="s">
        <v>1018</v>
      </c>
      <c r="E310" s="47">
        <v>407</v>
      </c>
      <c r="F310" s="47">
        <v>745</v>
      </c>
      <c r="G310" s="47">
        <v>303215</v>
      </c>
      <c r="H310" s="47" t="s">
        <v>1027</v>
      </c>
      <c r="I310" s="50" t="s">
        <v>1026</v>
      </c>
      <c r="J310" s="48" t="s">
        <v>1031</v>
      </c>
      <c r="K310" s="47" t="str">
        <f t="shared" si="4"/>
        <v/>
      </c>
    </row>
    <row r="311" spans="1:11" x14ac:dyDescent="0.25">
      <c r="A311" t="s">
        <v>319</v>
      </c>
      <c r="B311" s="48">
        <v>45935</v>
      </c>
      <c r="C311" t="s">
        <v>1011</v>
      </c>
      <c r="D311" t="s">
        <v>1020</v>
      </c>
      <c r="E311" s="47">
        <v>358</v>
      </c>
      <c r="F311" s="47">
        <v>1208</v>
      </c>
      <c r="G311" s="47">
        <v>432464</v>
      </c>
      <c r="H311" s="47" t="s">
        <v>1027</v>
      </c>
      <c r="I311" s="50" t="s">
        <v>1028</v>
      </c>
      <c r="J311" s="48">
        <v>45945</v>
      </c>
      <c r="K311" s="47">
        <f t="shared" si="4"/>
        <v>10</v>
      </c>
    </row>
    <row r="312" spans="1:11" x14ac:dyDescent="0.25">
      <c r="A312" t="s">
        <v>320</v>
      </c>
      <c r="B312" s="48">
        <v>45876</v>
      </c>
      <c r="C312" t="s">
        <v>1014</v>
      </c>
      <c r="D312" t="s">
        <v>1015</v>
      </c>
      <c r="E312" s="47">
        <v>292</v>
      </c>
      <c r="F312" s="47">
        <v>1587</v>
      </c>
      <c r="G312" s="47">
        <v>463404</v>
      </c>
      <c r="H312" s="47" t="s">
        <v>1030</v>
      </c>
      <c r="I312" s="50" t="s">
        <v>1026</v>
      </c>
      <c r="J312" s="48" t="s">
        <v>1031</v>
      </c>
      <c r="K312" s="47" t="str">
        <f t="shared" si="4"/>
        <v/>
      </c>
    </row>
    <row r="313" spans="1:11" x14ac:dyDescent="0.25">
      <c r="A313" t="s">
        <v>321</v>
      </c>
      <c r="B313" s="48">
        <v>45976</v>
      </c>
      <c r="C313" t="s">
        <v>1014</v>
      </c>
      <c r="D313" t="s">
        <v>1019</v>
      </c>
      <c r="E313" s="47">
        <v>445</v>
      </c>
      <c r="F313" s="47">
        <v>1521</v>
      </c>
      <c r="G313" s="47">
        <v>676845</v>
      </c>
      <c r="H313" s="47" t="s">
        <v>1027</v>
      </c>
      <c r="I313" s="50" t="s">
        <v>1028</v>
      </c>
      <c r="J313" s="48">
        <v>45983</v>
      </c>
      <c r="K313" s="47">
        <f t="shared" si="4"/>
        <v>7</v>
      </c>
    </row>
    <row r="314" spans="1:11" x14ac:dyDescent="0.25">
      <c r="A314" t="s">
        <v>322</v>
      </c>
      <c r="B314" s="48">
        <v>45867</v>
      </c>
      <c r="C314" t="s">
        <v>1013</v>
      </c>
      <c r="D314" t="s">
        <v>1024</v>
      </c>
      <c r="E314" s="47">
        <v>431</v>
      </c>
      <c r="F314" s="47">
        <v>621</v>
      </c>
      <c r="G314" s="47">
        <v>267651</v>
      </c>
      <c r="H314" s="47" t="s">
        <v>1027</v>
      </c>
      <c r="I314" s="50" t="s">
        <v>1026</v>
      </c>
      <c r="J314" s="48" t="s">
        <v>1031</v>
      </c>
      <c r="K314" s="47" t="str">
        <f t="shared" si="4"/>
        <v/>
      </c>
    </row>
    <row r="315" spans="1:11" x14ac:dyDescent="0.25">
      <c r="A315" t="s">
        <v>323</v>
      </c>
      <c r="B315" s="48">
        <v>45896</v>
      </c>
      <c r="C315" t="s">
        <v>1014</v>
      </c>
      <c r="D315" t="s">
        <v>1015</v>
      </c>
      <c r="E315" s="47">
        <v>218</v>
      </c>
      <c r="F315" s="47">
        <v>356</v>
      </c>
      <c r="G315" s="47">
        <v>77608</v>
      </c>
      <c r="H315" s="47" t="s">
        <v>1025</v>
      </c>
      <c r="I315" s="50" t="s">
        <v>1028</v>
      </c>
      <c r="J315" s="48">
        <v>45902</v>
      </c>
      <c r="K315" s="47">
        <f t="shared" si="4"/>
        <v>6</v>
      </c>
    </row>
    <row r="316" spans="1:11" x14ac:dyDescent="0.25">
      <c r="A316" t="s">
        <v>324</v>
      </c>
      <c r="B316" s="48">
        <v>45697</v>
      </c>
      <c r="C316" t="s">
        <v>1010</v>
      </c>
      <c r="D316" t="s">
        <v>1018</v>
      </c>
      <c r="E316" s="47">
        <v>247</v>
      </c>
      <c r="F316" s="47">
        <v>1737</v>
      </c>
      <c r="G316" s="47">
        <v>429039</v>
      </c>
      <c r="H316" s="47" t="s">
        <v>1027</v>
      </c>
      <c r="I316" s="50" t="s">
        <v>1026</v>
      </c>
      <c r="J316" s="48" t="s">
        <v>1031</v>
      </c>
      <c r="K316" s="47" t="str">
        <f t="shared" si="4"/>
        <v/>
      </c>
    </row>
    <row r="317" spans="1:11" x14ac:dyDescent="0.25">
      <c r="A317" t="s">
        <v>325</v>
      </c>
      <c r="B317" s="48">
        <v>45988</v>
      </c>
      <c r="C317" t="s">
        <v>1013</v>
      </c>
      <c r="D317" t="s">
        <v>1022</v>
      </c>
      <c r="E317" s="47">
        <v>79</v>
      </c>
      <c r="F317" s="47">
        <v>918</v>
      </c>
      <c r="G317" s="47">
        <v>72522</v>
      </c>
      <c r="H317" s="47" t="s">
        <v>1030</v>
      </c>
      <c r="I317" s="50" t="s">
        <v>1026</v>
      </c>
      <c r="J317" s="48" t="s">
        <v>1031</v>
      </c>
      <c r="K317" s="47" t="str">
        <f t="shared" si="4"/>
        <v/>
      </c>
    </row>
    <row r="318" spans="1:11" x14ac:dyDescent="0.25">
      <c r="A318" t="s">
        <v>326</v>
      </c>
      <c r="B318" s="48">
        <v>46049</v>
      </c>
      <c r="C318" t="s">
        <v>1010</v>
      </c>
      <c r="D318" t="s">
        <v>1024</v>
      </c>
      <c r="E318" s="47">
        <v>481</v>
      </c>
      <c r="F318" s="47">
        <v>1429</v>
      </c>
      <c r="G318" s="47">
        <v>687349</v>
      </c>
      <c r="H318" s="47" t="s">
        <v>1030</v>
      </c>
      <c r="I318" s="50" t="s">
        <v>1026</v>
      </c>
      <c r="J318" s="48" t="s">
        <v>1031</v>
      </c>
      <c r="K318" s="47" t="str">
        <f t="shared" si="4"/>
        <v/>
      </c>
    </row>
    <row r="319" spans="1:11" x14ac:dyDescent="0.25">
      <c r="A319" t="s">
        <v>327</v>
      </c>
      <c r="B319" s="48">
        <v>45788</v>
      </c>
      <c r="C319" t="s">
        <v>1010</v>
      </c>
      <c r="D319" t="s">
        <v>1022</v>
      </c>
      <c r="E319" s="47">
        <v>407</v>
      </c>
      <c r="F319" s="47">
        <v>1530</v>
      </c>
      <c r="G319" s="47">
        <v>622710</v>
      </c>
      <c r="H319" s="47" t="s">
        <v>1025</v>
      </c>
      <c r="I319" s="50" t="s">
        <v>1029</v>
      </c>
      <c r="J319" s="48" t="s">
        <v>1031</v>
      </c>
      <c r="K319" s="47" t="str">
        <f t="shared" si="4"/>
        <v/>
      </c>
    </row>
    <row r="320" spans="1:11" x14ac:dyDescent="0.25">
      <c r="A320" t="s">
        <v>328</v>
      </c>
      <c r="B320" s="48">
        <v>45994</v>
      </c>
      <c r="C320" t="s">
        <v>1012</v>
      </c>
      <c r="D320" t="s">
        <v>1022</v>
      </c>
      <c r="E320" s="47">
        <v>143</v>
      </c>
      <c r="F320" s="47">
        <v>1888</v>
      </c>
      <c r="G320" s="47">
        <v>269984</v>
      </c>
      <c r="H320" s="47" t="s">
        <v>1025</v>
      </c>
      <c r="I320" s="50" t="s">
        <v>1028</v>
      </c>
      <c r="J320" s="48">
        <v>45999</v>
      </c>
      <c r="K320" s="47">
        <f t="shared" si="4"/>
        <v>5</v>
      </c>
    </row>
    <row r="321" spans="1:11" x14ac:dyDescent="0.25">
      <c r="A321" t="s">
        <v>329</v>
      </c>
      <c r="B321" s="48">
        <v>45737</v>
      </c>
      <c r="C321" t="s">
        <v>1010</v>
      </c>
      <c r="D321" t="s">
        <v>1023</v>
      </c>
      <c r="E321" s="47">
        <v>27</v>
      </c>
      <c r="F321" s="47">
        <v>997</v>
      </c>
      <c r="G321" s="47">
        <v>26919</v>
      </c>
      <c r="H321" s="47" t="s">
        <v>1027</v>
      </c>
      <c r="I321" s="50" t="s">
        <v>1029</v>
      </c>
      <c r="J321" s="48" t="s">
        <v>1031</v>
      </c>
      <c r="K321" s="47" t="str">
        <f t="shared" si="4"/>
        <v/>
      </c>
    </row>
    <row r="322" spans="1:11" x14ac:dyDescent="0.25">
      <c r="A322" t="s">
        <v>330</v>
      </c>
      <c r="B322" s="48">
        <v>45671</v>
      </c>
      <c r="C322" t="s">
        <v>1012</v>
      </c>
      <c r="D322" t="s">
        <v>1020</v>
      </c>
      <c r="E322" s="47">
        <v>361</v>
      </c>
      <c r="F322" s="47">
        <v>294</v>
      </c>
      <c r="G322" s="47">
        <v>106134</v>
      </c>
      <c r="H322" s="47" t="s">
        <v>1025</v>
      </c>
      <c r="I322" s="50" t="s">
        <v>1029</v>
      </c>
      <c r="J322" s="48" t="s">
        <v>1031</v>
      </c>
      <c r="K322" s="47" t="str">
        <f t="shared" ref="K322:K385" si="5">IF(J322="", "", J322-B322)</f>
        <v/>
      </c>
    </row>
    <row r="323" spans="1:11" x14ac:dyDescent="0.25">
      <c r="A323" t="s">
        <v>331</v>
      </c>
      <c r="B323" s="48">
        <v>45734</v>
      </c>
      <c r="C323" t="s">
        <v>1010</v>
      </c>
      <c r="D323" t="s">
        <v>1019</v>
      </c>
      <c r="E323" s="47">
        <v>350</v>
      </c>
      <c r="F323" s="47">
        <v>1717</v>
      </c>
      <c r="G323" s="47">
        <v>600950</v>
      </c>
      <c r="H323" s="47" t="s">
        <v>1027</v>
      </c>
      <c r="I323" s="50" t="s">
        <v>1029</v>
      </c>
      <c r="J323" s="48" t="s">
        <v>1031</v>
      </c>
      <c r="K323" s="47" t="str">
        <f t="shared" si="5"/>
        <v/>
      </c>
    </row>
    <row r="324" spans="1:11" x14ac:dyDescent="0.25">
      <c r="A324" t="s">
        <v>332</v>
      </c>
      <c r="B324" s="48">
        <v>45940</v>
      </c>
      <c r="C324" t="s">
        <v>1010</v>
      </c>
      <c r="D324" t="s">
        <v>1016</v>
      </c>
      <c r="E324" s="47">
        <v>444</v>
      </c>
      <c r="F324" s="47">
        <v>1501</v>
      </c>
      <c r="G324" s="47">
        <v>666444</v>
      </c>
      <c r="H324" s="47" t="s">
        <v>1025</v>
      </c>
      <c r="I324" s="50" t="s">
        <v>1028</v>
      </c>
      <c r="J324" s="48">
        <v>45945</v>
      </c>
      <c r="K324" s="47">
        <f t="shared" si="5"/>
        <v>5</v>
      </c>
    </row>
    <row r="325" spans="1:11" x14ac:dyDescent="0.25">
      <c r="A325" t="s">
        <v>333</v>
      </c>
      <c r="B325" s="48">
        <v>45686</v>
      </c>
      <c r="C325" t="s">
        <v>1011</v>
      </c>
      <c r="D325" t="s">
        <v>1020</v>
      </c>
      <c r="E325" s="47">
        <v>498</v>
      </c>
      <c r="F325" s="47">
        <v>918</v>
      </c>
      <c r="G325" s="47">
        <v>457164</v>
      </c>
      <c r="H325" s="47" t="s">
        <v>1025</v>
      </c>
      <c r="I325" s="50" t="s">
        <v>1028</v>
      </c>
      <c r="J325" s="48">
        <v>45699</v>
      </c>
      <c r="K325" s="47">
        <f t="shared" si="5"/>
        <v>13</v>
      </c>
    </row>
    <row r="326" spans="1:11" x14ac:dyDescent="0.25">
      <c r="A326" t="s">
        <v>334</v>
      </c>
      <c r="B326" s="48">
        <v>45985</v>
      </c>
      <c r="C326" t="s">
        <v>1011</v>
      </c>
      <c r="D326" t="s">
        <v>1019</v>
      </c>
      <c r="E326" s="47">
        <v>306</v>
      </c>
      <c r="F326" s="47">
        <v>1328</v>
      </c>
      <c r="G326" s="47">
        <v>406368</v>
      </c>
      <c r="H326" s="47" t="s">
        <v>1030</v>
      </c>
      <c r="I326" s="50" t="s">
        <v>1029</v>
      </c>
      <c r="J326" s="48" t="s">
        <v>1031</v>
      </c>
      <c r="K326" s="47" t="str">
        <f t="shared" si="5"/>
        <v/>
      </c>
    </row>
    <row r="327" spans="1:11" x14ac:dyDescent="0.25">
      <c r="A327" t="s">
        <v>335</v>
      </c>
      <c r="B327" s="48">
        <v>45811</v>
      </c>
      <c r="C327" t="s">
        <v>1011</v>
      </c>
      <c r="D327" t="s">
        <v>1018</v>
      </c>
      <c r="E327" s="47">
        <v>77</v>
      </c>
      <c r="F327" s="47">
        <v>1445</v>
      </c>
      <c r="G327" s="47">
        <v>111265</v>
      </c>
      <c r="H327" s="47" t="s">
        <v>1030</v>
      </c>
      <c r="I327" s="50" t="s">
        <v>1028</v>
      </c>
      <c r="J327" s="48">
        <v>45820</v>
      </c>
      <c r="K327" s="47">
        <f t="shared" si="5"/>
        <v>9</v>
      </c>
    </row>
    <row r="328" spans="1:11" x14ac:dyDescent="0.25">
      <c r="A328" t="s">
        <v>336</v>
      </c>
      <c r="B328" s="48">
        <v>45734</v>
      </c>
      <c r="C328" t="s">
        <v>1010</v>
      </c>
      <c r="D328" t="s">
        <v>1018</v>
      </c>
      <c r="E328" s="47">
        <v>87</v>
      </c>
      <c r="F328" s="47">
        <v>1061</v>
      </c>
      <c r="G328" s="47">
        <v>92307</v>
      </c>
      <c r="H328" s="47" t="s">
        <v>1025</v>
      </c>
      <c r="I328" s="50" t="s">
        <v>1029</v>
      </c>
      <c r="J328" s="48" t="s">
        <v>1031</v>
      </c>
      <c r="K328" s="47" t="str">
        <f t="shared" si="5"/>
        <v/>
      </c>
    </row>
    <row r="329" spans="1:11" x14ac:dyDescent="0.25">
      <c r="A329" t="s">
        <v>337</v>
      </c>
      <c r="B329" s="48">
        <v>45781</v>
      </c>
      <c r="C329" t="s">
        <v>1014</v>
      </c>
      <c r="D329" t="s">
        <v>1019</v>
      </c>
      <c r="E329" s="47">
        <v>18</v>
      </c>
      <c r="F329" s="47">
        <v>135</v>
      </c>
      <c r="G329" s="47">
        <v>2430</v>
      </c>
      <c r="H329" s="47" t="s">
        <v>1030</v>
      </c>
      <c r="I329" s="50" t="s">
        <v>1029</v>
      </c>
      <c r="J329" s="48" t="s">
        <v>1031</v>
      </c>
      <c r="K329" s="47" t="str">
        <f t="shared" si="5"/>
        <v/>
      </c>
    </row>
    <row r="330" spans="1:11" x14ac:dyDescent="0.25">
      <c r="A330" t="s">
        <v>338</v>
      </c>
      <c r="B330" s="48">
        <v>45722</v>
      </c>
      <c r="C330" t="s">
        <v>1010</v>
      </c>
      <c r="D330" t="s">
        <v>1023</v>
      </c>
      <c r="E330" s="47">
        <v>217</v>
      </c>
      <c r="F330" s="47">
        <v>24</v>
      </c>
      <c r="G330" s="47">
        <v>5208</v>
      </c>
      <c r="H330" s="47" t="s">
        <v>1030</v>
      </c>
      <c r="I330" s="50" t="s">
        <v>1028</v>
      </c>
      <c r="J330" s="48">
        <v>45735</v>
      </c>
      <c r="K330" s="47">
        <f t="shared" si="5"/>
        <v>13</v>
      </c>
    </row>
    <row r="331" spans="1:11" x14ac:dyDescent="0.25">
      <c r="A331" t="s">
        <v>339</v>
      </c>
      <c r="B331" s="48">
        <v>46027</v>
      </c>
      <c r="C331" t="s">
        <v>1014</v>
      </c>
      <c r="D331" t="s">
        <v>1016</v>
      </c>
      <c r="E331" s="47">
        <v>89</v>
      </c>
      <c r="F331" s="47">
        <v>817</v>
      </c>
      <c r="G331" s="47">
        <v>72713</v>
      </c>
      <c r="H331" s="47" t="s">
        <v>1025</v>
      </c>
      <c r="I331" s="50" t="s">
        <v>1029</v>
      </c>
      <c r="J331" s="48" t="s">
        <v>1031</v>
      </c>
      <c r="K331" s="47" t="str">
        <f t="shared" si="5"/>
        <v/>
      </c>
    </row>
    <row r="332" spans="1:11" x14ac:dyDescent="0.25">
      <c r="A332" t="s">
        <v>340</v>
      </c>
      <c r="B332" s="48">
        <v>45675</v>
      </c>
      <c r="C332" t="s">
        <v>1010</v>
      </c>
      <c r="D332" t="s">
        <v>1016</v>
      </c>
      <c r="E332" s="47">
        <v>218</v>
      </c>
      <c r="F332" s="47">
        <v>1790</v>
      </c>
      <c r="G332" s="47">
        <v>390220</v>
      </c>
      <c r="H332" s="47" t="s">
        <v>1025</v>
      </c>
      <c r="I332" s="50" t="s">
        <v>1028</v>
      </c>
      <c r="J332" s="48">
        <v>45689</v>
      </c>
      <c r="K332" s="47">
        <f t="shared" si="5"/>
        <v>14</v>
      </c>
    </row>
    <row r="333" spans="1:11" x14ac:dyDescent="0.25">
      <c r="A333" t="s">
        <v>341</v>
      </c>
      <c r="B333" s="48">
        <v>45678</v>
      </c>
      <c r="C333" t="s">
        <v>1010</v>
      </c>
      <c r="D333" t="s">
        <v>1017</v>
      </c>
      <c r="E333" s="47">
        <v>359</v>
      </c>
      <c r="F333" s="47">
        <v>1293</v>
      </c>
      <c r="G333" s="47">
        <v>464187</v>
      </c>
      <c r="H333" s="47" t="s">
        <v>1030</v>
      </c>
      <c r="I333" s="50" t="s">
        <v>1029</v>
      </c>
      <c r="J333" s="48" t="s">
        <v>1031</v>
      </c>
      <c r="K333" s="47" t="str">
        <f t="shared" si="5"/>
        <v/>
      </c>
    </row>
    <row r="334" spans="1:11" x14ac:dyDescent="0.25">
      <c r="A334" t="s">
        <v>342</v>
      </c>
      <c r="B334" s="48">
        <v>45957</v>
      </c>
      <c r="C334" t="s">
        <v>1014</v>
      </c>
      <c r="D334" t="s">
        <v>1024</v>
      </c>
      <c r="E334" s="47">
        <v>309</v>
      </c>
      <c r="F334" s="47">
        <v>1874</v>
      </c>
      <c r="G334" s="47">
        <v>579066</v>
      </c>
      <c r="H334" s="47" t="s">
        <v>1025</v>
      </c>
      <c r="I334" s="50" t="s">
        <v>1029</v>
      </c>
      <c r="J334" s="48" t="s">
        <v>1031</v>
      </c>
      <c r="K334" s="47" t="str">
        <f t="shared" si="5"/>
        <v/>
      </c>
    </row>
    <row r="335" spans="1:11" x14ac:dyDescent="0.25">
      <c r="A335" t="s">
        <v>343</v>
      </c>
      <c r="B335" s="48">
        <v>46039</v>
      </c>
      <c r="C335" t="s">
        <v>1010</v>
      </c>
      <c r="D335" t="s">
        <v>1019</v>
      </c>
      <c r="E335" s="47">
        <v>338</v>
      </c>
      <c r="F335" s="47">
        <v>1780</v>
      </c>
      <c r="G335" s="47">
        <v>601640</v>
      </c>
      <c r="H335" s="47" t="s">
        <v>1027</v>
      </c>
      <c r="I335" s="50" t="s">
        <v>1028</v>
      </c>
      <c r="J335" s="48">
        <v>46048</v>
      </c>
      <c r="K335" s="47">
        <f t="shared" si="5"/>
        <v>9</v>
      </c>
    </row>
    <row r="336" spans="1:11" x14ac:dyDescent="0.25">
      <c r="A336" t="s">
        <v>344</v>
      </c>
      <c r="B336" s="48">
        <v>46028</v>
      </c>
      <c r="C336" t="s">
        <v>1012</v>
      </c>
      <c r="D336" t="s">
        <v>1016</v>
      </c>
      <c r="E336" s="47">
        <v>120</v>
      </c>
      <c r="F336" s="47">
        <v>1122</v>
      </c>
      <c r="G336" s="47">
        <v>134640</v>
      </c>
      <c r="H336" s="47" t="s">
        <v>1030</v>
      </c>
      <c r="I336" s="50" t="s">
        <v>1028</v>
      </c>
      <c r="J336" s="48">
        <v>46034</v>
      </c>
      <c r="K336" s="47">
        <f t="shared" si="5"/>
        <v>6</v>
      </c>
    </row>
    <row r="337" spans="1:11" x14ac:dyDescent="0.25">
      <c r="A337" t="s">
        <v>345</v>
      </c>
      <c r="B337" s="48">
        <v>45753</v>
      </c>
      <c r="C337" t="s">
        <v>1014</v>
      </c>
      <c r="D337" t="s">
        <v>1023</v>
      </c>
      <c r="E337" s="47">
        <v>401</v>
      </c>
      <c r="F337" s="47">
        <v>944</v>
      </c>
      <c r="G337" s="47">
        <v>378544</v>
      </c>
      <c r="H337" s="47" t="s">
        <v>1027</v>
      </c>
      <c r="I337" s="50" t="s">
        <v>1026</v>
      </c>
      <c r="J337" s="48" t="s">
        <v>1031</v>
      </c>
      <c r="K337" s="47" t="str">
        <f t="shared" si="5"/>
        <v/>
      </c>
    </row>
    <row r="338" spans="1:11" x14ac:dyDescent="0.25">
      <c r="A338" t="s">
        <v>346</v>
      </c>
      <c r="B338" s="48">
        <v>45848</v>
      </c>
      <c r="C338" t="s">
        <v>1011</v>
      </c>
      <c r="D338" t="s">
        <v>1015</v>
      </c>
      <c r="E338" s="47">
        <v>52</v>
      </c>
      <c r="F338" s="47">
        <v>1304</v>
      </c>
      <c r="G338" s="47">
        <v>67808</v>
      </c>
      <c r="H338" s="47" t="s">
        <v>1025</v>
      </c>
      <c r="I338" s="50" t="s">
        <v>1028</v>
      </c>
      <c r="J338" s="48">
        <v>45861</v>
      </c>
      <c r="K338" s="47">
        <f t="shared" si="5"/>
        <v>13</v>
      </c>
    </row>
    <row r="339" spans="1:11" x14ac:dyDescent="0.25">
      <c r="A339" t="s">
        <v>347</v>
      </c>
      <c r="B339" s="48">
        <v>45916</v>
      </c>
      <c r="C339" t="s">
        <v>1014</v>
      </c>
      <c r="D339" t="s">
        <v>1017</v>
      </c>
      <c r="E339" s="47">
        <v>374</v>
      </c>
      <c r="F339" s="47">
        <v>1290</v>
      </c>
      <c r="G339" s="47">
        <v>482460</v>
      </c>
      <c r="H339" s="47" t="s">
        <v>1027</v>
      </c>
      <c r="I339" s="50" t="s">
        <v>1028</v>
      </c>
      <c r="J339" s="48">
        <v>45931</v>
      </c>
      <c r="K339" s="47">
        <f t="shared" si="5"/>
        <v>15</v>
      </c>
    </row>
    <row r="340" spans="1:11" x14ac:dyDescent="0.25">
      <c r="A340" t="s">
        <v>348</v>
      </c>
      <c r="B340" s="48">
        <v>46017</v>
      </c>
      <c r="C340" t="s">
        <v>1014</v>
      </c>
      <c r="D340" t="s">
        <v>1017</v>
      </c>
      <c r="E340" s="47">
        <v>22</v>
      </c>
      <c r="F340" s="47">
        <v>1081</v>
      </c>
      <c r="G340" s="47">
        <v>23782</v>
      </c>
      <c r="H340" s="47" t="s">
        <v>1025</v>
      </c>
      <c r="I340" s="50" t="s">
        <v>1026</v>
      </c>
      <c r="J340" s="48" t="s">
        <v>1031</v>
      </c>
      <c r="K340" s="47" t="str">
        <f t="shared" si="5"/>
        <v/>
      </c>
    </row>
    <row r="341" spans="1:11" x14ac:dyDescent="0.25">
      <c r="A341" t="s">
        <v>349</v>
      </c>
      <c r="B341" s="48">
        <v>46017</v>
      </c>
      <c r="C341" t="s">
        <v>1013</v>
      </c>
      <c r="D341" t="s">
        <v>1020</v>
      </c>
      <c r="E341" s="47">
        <v>146</v>
      </c>
      <c r="F341" s="47">
        <v>483</v>
      </c>
      <c r="G341" s="47">
        <v>70518</v>
      </c>
      <c r="H341" s="47" t="s">
        <v>1030</v>
      </c>
      <c r="I341" s="50" t="s">
        <v>1028</v>
      </c>
      <c r="J341" s="48">
        <v>46028</v>
      </c>
      <c r="K341" s="47">
        <f t="shared" si="5"/>
        <v>11</v>
      </c>
    </row>
    <row r="342" spans="1:11" x14ac:dyDescent="0.25">
      <c r="A342" t="s">
        <v>350</v>
      </c>
      <c r="B342" s="48">
        <v>45674</v>
      </c>
      <c r="C342" t="s">
        <v>1011</v>
      </c>
      <c r="D342" t="s">
        <v>1023</v>
      </c>
      <c r="E342" s="47">
        <v>93</v>
      </c>
      <c r="F342" s="47">
        <v>608</v>
      </c>
      <c r="G342" s="47">
        <v>56544</v>
      </c>
      <c r="H342" s="47" t="s">
        <v>1030</v>
      </c>
      <c r="I342" s="50" t="s">
        <v>1026</v>
      </c>
      <c r="J342" s="48" t="s">
        <v>1031</v>
      </c>
      <c r="K342" s="47" t="str">
        <f t="shared" si="5"/>
        <v/>
      </c>
    </row>
    <row r="343" spans="1:11" x14ac:dyDescent="0.25">
      <c r="A343" t="s">
        <v>351</v>
      </c>
      <c r="B343" s="48">
        <v>46018</v>
      </c>
      <c r="C343" t="s">
        <v>1011</v>
      </c>
      <c r="D343" t="s">
        <v>1019</v>
      </c>
      <c r="E343" s="47">
        <v>274</v>
      </c>
      <c r="F343" s="47">
        <v>770</v>
      </c>
      <c r="G343" s="47">
        <v>210980</v>
      </c>
      <c r="H343" s="47" t="s">
        <v>1030</v>
      </c>
      <c r="I343" s="50" t="s">
        <v>1028</v>
      </c>
      <c r="J343" s="48">
        <v>46030</v>
      </c>
      <c r="K343" s="47">
        <f t="shared" si="5"/>
        <v>12</v>
      </c>
    </row>
    <row r="344" spans="1:11" x14ac:dyDescent="0.25">
      <c r="A344" t="s">
        <v>352</v>
      </c>
      <c r="B344" s="48">
        <v>45862</v>
      </c>
      <c r="C344" t="s">
        <v>1011</v>
      </c>
      <c r="D344" t="s">
        <v>1024</v>
      </c>
      <c r="E344" s="47">
        <v>439</v>
      </c>
      <c r="F344" s="47">
        <v>1798</v>
      </c>
      <c r="G344" s="47">
        <v>789322</v>
      </c>
      <c r="H344" s="47" t="s">
        <v>1030</v>
      </c>
      <c r="I344" s="50" t="s">
        <v>1029</v>
      </c>
      <c r="J344" s="48" t="s">
        <v>1031</v>
      </c>
      <c r="K344" s="47" t="str">
        <f t="shared" si="5"/>
        <v/>
      </c>
    </row>
    <row r="345" spans="1:11" x14ac:dyDescent="0.25">
      <c r="A345" t="s">
        <v>353</v>
      </c>
      <c r="B345" s="48">
        <v>45725</v>
      </c>
      <c r="C345" t="s">
        <v>1011</v>
      </c>
      <c r="D345" t="s">
        <v>1015</v>
      </c>
      <c r="E345" s="47">
        <v>387</v>
      </c>
      <c r="F345" s="47">
        <v>1318</v>
      </c>
      <c r="G345" s="47">
        <v>510066</v>
      </c>
      <c r="H345" s="47" t="s">
        <v>1030</v>
      </c>
      <c r="I345" s="50" t="s">
        <v>1028</v>
      </c>
      <c r="J345" s="48">
        <v>45736</v>
      </c>
      <c r="K345" s="47">
        <f t="shared" si="5"/>
        <v>11</v>
      </c>
    </row>
    <row r="346" spans="1:11" x14ac:dyDescent="0.25">
      <c r="A346" t="s">
        <v>354</v>
      </c>
      <c r="B346" s="48">
        <v>45789</v>
      </c>
      <c r="C346" t="s">
        <v>1014</v>
      </c>
      <c r="D346" t="s">
        <v>1018</v>
      </c>
      <c r="E346" s="47">
        <v>379</v>
      </c>
      <c r="F346" s="47">
        <v>1989</v>
      </c>
      <c r="G346" s="47">
        <v>753831</v>
      </c>
      <c r="H346" s="47" t="s">
        <v>1025</v>
      </c>
      <c r="I346" s="50" t="s">
        <v>1026</v>
      </c>
      <c r="J346" s="48" t="s">
        <v>1031</v>
      </c>
      <c r="K346" s="47" t="str">
        <f t="shared" si="5"/>
        <v/>
      </c>
    </row>
    <row r="347" spans="1:11" x14ac:dyDescent="0.25">
      <c r="A347" t="s">
        <v>355</v>
      </c>
      <c r="B347" s="48">
        <v>45808</v>
      </c>
      <c r="C347" t="s">
        <v>1011</v>
      </c>
      <c r="D347" t="s">
        <v>1016</v>
      </c>
      <c r="E347" s="47">
        <v>273</v>
      </c>
      <c r="F347" s="47">
        <v>1774</v>
      </c>
      <c r="G347" s="47">
        <v>484302</v>
      </c>
      <c r="H347" s="47" t="s">
        <v>1030</v>
      </c>
      <c r="I347" s="50" t="s">
        <v>1029</v>
      </c>
      <c r="J347" s="48" t="s">
        <v>1031</v>
      </c>
      <c r="K347" s="47" t="str">
        <f t="shared" si="5"/>
        <v/>
      </c>
    </row>
    <row r="348" spans="1:11" x14ac:dyDescent="0.25">
      <c r="A348" t="s">
        <v>356</v>
      </c>
      <c r="B348" s="48">
        <v>45699</v>
      </c>
      <c r="C348" t="s">
        <v>1013</v>
      </c>
      <c r="D348" t="s">
        <v>1021</v>
      </c>
      <c r="E348" s="47">
        <v>277</v>
      </c>
      <c r="F348" s="47">
        <v>438</v>
      </c>
      <c r="G348" s="47">
        <v>121326</v>
      </c>
      <c r="H348" s="47" t="s">
        <v>1030</v>
      </c>
      <c r="I348" s="50" t="s">
        <v>1029</v>
      </c>
      <c r="J348" s="48" t="s">
        <v>1031</v>
      </c>
      <c r="K348" s="47" t="str">
        <f t="shared" si="5"/>
        <v/>
      </c>
    </row>
    <row r="349" spans="1:11" x14ac:dyDescent="0.25">
      <c r="A349" t="s">
        <v>357</v>
      </c>
      <c r="B349" s="48">
        <v>45900</v>
      </c>
      <c r="C349" t="s">
        <v>1013</v>
      </c>
      <c r="D349" t="s">
        <v>1016</v>
      </c>
      <c r="E349" s="47">
        <v>18</v>
      </c>
      <c r="F349" s="47">
        <v>1998</v>
      </c>
      <c r="G349" s="47">
        <v>35964</v>
      </c>
      <c r="H349" s="47" t="s">
        <v>1030</v>
      </c>
      <c r="I349" s="50" t="s">
        <v>1029</v>
      </c>
      <c r="J349" s="48" t="s">
        <v>1031</v>
      </c>
      <c r="K349" s="47" t="str">
        <f t="shared" si="5"/>
        <v/>
      </c>
    </row>
    <row r="350" spans="1:11" x14ac:dyDescent="0.25">
      <c r="A350" t="s">
        <v>358</v>
      </c>
      <c r="B350" s="48">
        <v>45945</v>
      </c>
      <c r="C350" t="s">
        <v>1014</v>
      </c>
      <c r="D350" t="s">
        <v>1020</v>
      </c>
      <c r="E350" s="47">
        <v>353</v>
      </c>
      <c r="F350" s="47">
        <v>1255</v>
      </c>
      <c r="G350" s="47">
        <v>443015</v>
      </c>
      <c r="H350" s="47" t="s">
        <v>1027</v>
      </c>
      <c r="I350" s="50" t="s">
        <v>1029</v>
      </c>
      <c r="J350" s="48" t="s">
        <v>1031</v>
      </c>
      <c r="K350" s="47" t="str">
        <f t="shared" si="5"/>
        <v/>
      </c>
    </row>
    <row r="351" spans="1:11" x14ac:dyDescent="0.25">
      <c r="A351" t="s">
        <v>359</v>
      </c>
      <c r="B351" s="48">
        <v>46035</v>
      </c>
      <c r="C351" t="s">
        <v>1013</v>
      </c>
      <c r="D351" t="s">
        <v>1023</v>
      </c>
      <c r="E351" s="47">
        <v>457</v>
      </c>
      <c r="F351" s="47">
        <v>1346</v>
      </c>
      <c r="G351" s="47">
        <v>615122</v>
      </c>
      <c r="H351" s="47" t="s">
        <v>1027</v>
      </c>
      <c r="I351" s="50" t="s">
        <v>1026</v>
      </c>
      <c r="J351" s="48" t="s">
        <v>1031</v>
      </c>
      <c r="K351" s="47" t="str">
        <f t="shared" si="5"/>
        <v/>
      </c>
    </row>
    <row r="352" spans="1:11" x14ac:dyDescent="0.25">
      <c r="A352" t="s">
        <v>360</v>
      </c>
      <c r="B352" s="48">
        <v>45666</v>
      </c>
      <c r="C352" t="s">
        <v>1014</v>
      </c>
      <c r="D352" t="s">
        <v>1022</v>
      </c>
      <c r="E352" s="47">
        <v>257</v>
      </c>
      <c r="F352" s="47">
        <v>1088</v>
      </c>
      <c r="G352" s="47">
        <v>279616</v>
      </c>
      <c r="H352" s="47" t="s">
        <v>1025</v>
      </c>
      <c r="I352" s="50" t="s">
        <v>1029</v>
      </c>
      <c r="J352" s="48" t="s">
        <v>1031</v>
      </c>
      <c r="K352" s="47" t="str">
        <f t="shared" si="5"/>
        <v/>
      </c>
    </row>
    <row r="353" spans="1:11" x14ac:dyDescent="0.25">
      <c r="A353" t="s">
        <v>361</v>
      </c>
      <c r="B353" s="48">
        <v>45826</v>
      </c>
      <c r="C353" t="s">
        <v>1013</v>
      </c>
      <c r="D353" t="s">
        <v>1023</v>
      </c>
      <c r="E353" s="47">
        <v>17</v>
      </c>
      <c r="F353" s="47">
        <v>1748</v>
      </c>
      <c r="G353" s="47">
        <v>29716</v>
      </c>
      <c r="H353" s="47" t="s">
        <v>1025</v>
      </c>
      <c r="I353" s="50" t="s">
        <v>1026</v>
      </c>
      <c r="J353" s="48" t="s">
        <v>1031</v>
      </c>
      <c r="K353" s="47" t="str">
        <f t="shared" si="5"/>
        <v/>
      </c>
    </row>
    <row r="354" spans="1:11" x14ac:dyDescent="0.25">
      <c r="A354" t="s">
        <v>362</v>
      </c>
      <c r="B354" s="48">
        <v>46003</v>
      </c>
      <c r="C354" t="s">
        <v>1013</v>
      </c>
      <c r="D354" t="s">
        <v>1018</v>
      </c>
      <c r="E354" s="47">
        <v>321</v>
      </c>
      <c r="F354" s="47">
        <v>663</v>
      </c>
      <c r="G354" s="47">
        <v>212823</v>
      </c>
      <c r="H354" s="47" t="s">
        <v>1025</v>
      </c>
      <c r="I354" s="50" t="s">
        <v>1026</v>
      </c>
      <c r="J354" s="48" t="s">
        <v>1031</v>
      </c>
      <c r="K354" s="47" t="str">
        <f t="shared" si="5"/>
        <v/>
      </c>
    </row>
    <row r="355" spans="1:11" x14ac:dyDescent="0.25">
      <c r="A355" t="s">
        <v>363</v>
      </c>
      <c r="B355" s="48">
        <v>45861</v>
      </c>
      <c r="C355" t="s">
        <v>1014</v>
      </c>
      <c r="D355" t="s">
        <v>1019</v>
      </c>
      <c r="E355" s="47">
        <v>426</v>
      </c>
      <c r="F355" s="47">
        <v>403</v>
      </c>
      <c r="G355" s="47">
        <v>171678</v>
      </c>
      <c r="H355" s="47" t="s">
        <v>1025</v>
      </c>
      <c r="I355" s="50" t="s">
        <v>1026</v>
      </c>
      <c r="J355" s="48" t="s">
        <v>1031</v>
      </c>
      <c r="K355" s="47" t="str">
        <f t="shared" si="5"/>
        <v/>
      </c>
    </row>
    <row r="356" spans="1:11" x14ac:dyDescent="0.25">
      <c r="A356" t="s">
        <v>364</v>
      </c>
      <c r="B356" s="48">
        <v>45944</v>
      </c>
      <c r="C356" t="s">
        <v>1014</v>
      </c>
      <c r="D356" t="s">
        <v>1023</v>
      </c>
      <c r="E356" s="47">
        <v>422</v>
      </c>
      <c r="F356" s="47">
        <v>1068</v>
      </c>
      <c r="G356" s="47">
        <v>450696</v>
      </c>
      <c r="H356" s="47" t="s">
        <v>1027</v>
      </c>
      <c r="I356" s="50" t="s">
        <v>1028</v>
      </c>
      <c r="J356" s="48">
        <v>45955</v>
      </c>
      <c r="K356" s="47">
        <f t="shared" si="5"/>
        <v>11</v>
      </c>
    </row>
    <row r="357" spans="1:11" x14ac:dyDescent="0.25">
      <c r="A357" t="s">
        <v>365</v>
      </c>
      <c r="B357" s="48">
        <v>45853</v>
      </c>
      <c r="C357" t="s">
        <v>1014</v>
      </c>
      <c r="D357" t="s">
        <v>1019</v>
      </c>
      <c r="E357" s="47">
        <v>143</v>
      </c>
      <c r="F357" s="47">
        <v>1628</v>
      </c>
      <c r="G357" s="47">
        <v>232804</v>
      </c>
      <c r="H357" s="47" t="s">
        <v>1025</v>
      </c>
      <c r="I357" s="50" t="s">
        <v>1029</v>
      </c>
      <c r="J357" s="48" t="s">
        <v>1031</v>
      </c>
      <c r="K357" s="47" t="str">
        <f t="shared" si="5"/>
        <v/>
      </c>
    </row>
    <row r="358" spans="1:11" x14ac:dyDescent="0.25">
      <c r="A358" t="s">
        <v>366</v>
      </c>
      <c r="B358" s="48">
        <v>45940</v>
      </c>
      <c r="C358" t="s">
        <v>1014</v>
      </c>
      <c r="D358" t="s">
        <v>1019</v>
      </c>
      <c r="E358" s="47">
        <v>217</v>
      </c>
      <c r="F358" s="47">
        <v>1527</v>
      </c>
      <c r="G358" s="47">
        <v>331359</v>
      </c>
      <c r="H358" s="47" t="s">
        <v>1030</v>
      </c>
      <c r="I358" s="50" t="s">
        <v>1026</v>
      </c>
      <c r="J358" s="48" t="s">
        <v>1031</v>
      </c>
      <c r="K358" s="47" t="str">
        <f t="shared" si="5"/>
        <v/>
      </c>
    </row>
    <row r="359" spans="1:11" x14ac:dyDescent="0.25">
      <c r="A359" t="s">
        <v>367</v>
      </c>
      <c r="B359" s="48">
        <v>46022</v>
      </c>
      <c r="C359" t="s">
        <v>1012</v>
      </c>
      <c r="D359" t="s">
        <v>1018</v>
      </c>
      <c r="E359" s="47">
        <v>437</v>
      </c>
      <c r="F359" s="47">
        <v>276</v>
      </c>
      <c r="G359" s="47">
        <v>120612</v>
      </c>
      <c r="H359" s="47" t="s">
        <v>1027</v>
      </c>
      <c r="I359" s="50" t="s">
        <v>1029</v>
      </c>
      <c r="J359" s="48" t="s">
        <v>1031</v>
      </c>
      <c r="K359" s="47" t="str">
        <f t="shared" si="5"/>
        <v/>
      </c>
    </row>
    <row r="360" spans="1:11" x14ac:dyDescent="0.25">
      <c r="A360" t="s">
        <v>368</v>
      </c>
      <c r="B360" s="48">
        <v>45877</v>
      </c>
      <c r="C360" t="s">
        <v>1013</v>
      </c>
      <c r="D360" t="s">
        <v>1020</v>
      </c>
      <c r="E360" s="47">
        <v>199</v>
      </c>
      <c r="F360" s="47">
        <v>1655</v>
      </c>
      <c r="G360" s="47">
        <v>329345</v>
      </c>
      <c r="H360" s="47" t="s">
        <v>1025</v>
      </c>
      <c r="I360" s="50" t="s">
        <v>1028</v>
      </c>
      <c r="J360" s="48">
        <v>45882</v>
      </c>
      <c r="K360" s="47">
        <f t="shared" si="5"/>
        <v>5</v>
      </c>
    </row>
    <row r="361" spans="1:11" x14ac:dyDescent="0.25">
      <c r="A361" t="s">
        <v>369</v>
      </c>
      <c r="B361" s="48">
        <v>45818</v>
      </c>
      <c r="C361" t="s">
        <v>1013</v>
      </c>
      <c r="D361" t="s">
        <v>1021</v>
      </c>
      <c r="E361" s="47">
        <v>89</v>
      </c>
      <c r="F361" s="47">
        <v>1969</v>
      </c>
      <c r="G361" s="47">
        <v>175241</v>
      </c>
      <c r="H361" s="47" t="s">
        <v>1030</v>
      </c>
      <c r="I361" s="50" t="s">
        <v>1026</v>
      </c>
      <c r="J361" s="48" t="s">
        <v>1031</v>
      </c>
      <c r="K361" s="47" t="str">
        <f t="shared" si="5"/>
        <v/>
      </c>
    </row>
    <row r="362" spans="1:11" x14ac:dyDescent="0.25">
      <c r="A362" t="s">
        <v>370</v>
      </c>
      <c r="B362" s="48">
        <v>45882</v>
      </c>
      <c r="C362" t="s">
        <v>1011</v>
      </c>
      <c r="D362" t="s">
        <v>1024</v>
      </c>
      <c r="E362" s="47">
        <v>438</v>
      </c>
      <c r="F362" s="47">
        <v>1404</v>
      </c>
      <c r="G362" s="47">
        <v>614952</v>
      </c>
      <c r="H362" s="47" t="s">
        <v>1025</v>
      </c>
      <c r="I362" s="50" t="s">
        <v>1029</v>
      </c>
      <c r="J362" s="48" t="s">
        <v>1031</v>
      </c>
      <c r="K362" s="47" t="str">
        <f t="shared" si="5"/>
        <v/>
      </c>
    </row>
    <row r="363" spans="1:11" x14ac:dyDescent="0.25">
      <c r="A363" t="s">
        <v>371</v>
      </c>
      <c r="B363" s="48">
        <v>45903</v>
      </c>
      <c r="C363" t="s">
        <v>1012</v>
      </c>
      <c r="D363" t="s">
        <v>1015</v>
      </c>
      <c r="E363" s="47">
        <v>198</v>
      </c>
      <c r="F363" s="47">
        <v>1217</v>
      </c>
      <c r="G363" s="47">
        <v>240966</v>
      </c>
      <c r="H363" s="47" t="s">
        <v>1027</v>
      </c>
      <c r="I363" s="50" t="s">
        <v>1026</v>
      </c>
      <c r="J363" s="48" t="s">
        <v>1031</v>
      </c>
      <c r="K363" s="47" t="str">
        <f t="shared" si="5"/>
        <v/>
      </c>
    </row>
    <row r="364" spans="1:11" x14ac:dyDescent="0.25">
      <c r="A364" t="s">
        <v>372</v>
      </c>
      <c r="B364" s="48">
        <v>45931</v>
      </c>
      <c r="C364" t="s">
        <v>1012</v>
      </c>
      <c r="D364" t="s">
        <v>1021</v>
      </c>
      <c r="E364" s="47">
        <v>94</v>
      </c>
      <c r="F364" s="47">
        <v>727</v>
      </c>
      <c r="G364" s="47">
        <v>68338</v>
      </c>
      <c r="H364" s="47" t="s">
        <v>1025</v>
      </c>
      <c r="I364" s="50" t="s">
        <v>1029</v>
      </c>
      <c r="J364" s="48" t="s">
        <v>1031</v>
      </c>
      <c r="K364" s="47" t="str">
        <f t="shared" si="5"/>
        <v/>
      </c>
    </row>
    <row r="365" spans="1:11" x14ac:dyDescent="0.25">
      <c r="A365" t="s">
        <v>373</v>
      </c>
      <c r="B365" s="48">
        <v>45731</v>
      </c>
      <c r="C365" t="s">
        <v>1011</v>
      </c>
      <c r="D365" t="s">
        <v>1020</v>
      </c>
      <c r="E365" s="47">
        <v>10</v>
      </c>
      <c r="F365" s="47">
        <v>43</v>
      </c>
      <c r="G365" s="47">
        <v>430</v>
      </c>
      <c r="H365" s="47" t="s">
        <v>1025</v>
      </c>
      <c r="I365" s="50" t="s">
        <v>1029</v>
      </c>
      <c r="J365" s="48" t="s">
        <v>1031</v>
      </c>
      <c r="K365" s="47" t="str">
        <f t="shared" si="5"/>
        <v/>
      </c>
    </row>
    <row r="366" spans="1:11" x14ac:dyDescent="0.25">
      <c r="A366" t="s">
        <v>374</v>
      </c>
      <c r="B366" s="48">
        <v>45903</v>
      </c>
      <c r="C366" t="s">
        <v>1013</v>
      </c>
      <c r="D366" t="s">
        <v>1015</v>
      </c>
      <c r="E366" s="47">
        <v>210</v>
      </c>
      <c r="F366" s="47">
        <v>343</v>
      </c>
      <c r="G366" s="47">
        <v>72030</v>
      </c>
      <c r="H366" s="47" t="s">
        <v>1025</v>
      </c>
      <c r="I366" s="50" t="s">
        <v>1028</v>
      </c>
      <c r="J366" s="48">
        <v>45914</v>
      </c>
      <c r="K366" s="47">
        <f t="shared" si="5"/>
        <v>11</v>
      </c>
    </row>
    <row r="367" spans="1:11" x14ac:dyDescent="0.25">
      <c r="A367" t="s">
        <v>375</v>
      </c>
      <c r="B367" s="48">
        <v>46002</v>
      </c>
      <c r="C367" t="s">
        <v>1014</v>
      </c>
      <c r="D367" t="s">
        <v>1024</v>
      </c>
      <c r="E367" s="47">
        <v>388</v>
      </c>
      <c r="F367" s="47">
        <v>72</v>
      </c>
      <c r="G367" s="47">
        <v>27936</v>
      </c>
      <c r="H367" s="47" t="s">
        <v>1025</v>
      </c>
      <c r="I367" s="50" t="s">
        <v>1028</v>
      </c>
      <c r="J367" s="48">
        <v>46013</v>
      </c>
      <c r="K367" s="47">
        <f t="shared" si="5"/>
        <v>11</v>
      </c>
    </row>
    <row r="368" spans="1:11" x14ac:dyDescent="0.25">
      <c r="A368" t="s">
        <v>376</v>
      </c>
      <c r="B368" s="48">
        <v>45893</v>
      </c>
      <c r="C368" t="s">
        <v>1012</v>
      </c>
      <c r="D368" t="s">
        <v>1020</v>
      </c>
      <c r="E368" s="47">
        <v>451</v>
      </c>
      <c r="F368" s="47">
        <v>355</v>
      </c>
      <c r="G368" s="47">
        <v>160105</v>
      </c>
      <c r="H368" s="47" t="s">
        <v>1030</v>
      </c>
      <c r="I368" s="50" t="s">
        <v>1026</v>
      </c>
      <c r="J368" s="48" t="s">
        <v>1031</v>
      </c>
      <c r="K368" s="47" t="str">
        <f t="shared" si="5"/>
        <v/>
      </c>
    </row>
    <row r="369" spans="1:11" x14ac:dyDescent="0.25">
      <c r="A369" t="s">
        <v>377</v>
      </c>
      <c r="B369" s="48">
        <v>46028</v>
      </c>
      <c r="C369" t="s">
        <v>1013</v>
      </c>
      <c r="D369" t="s">
        <v>1018</v>
      </c>
      <c r="E369" s="47">
        <v>193</v>
      </c>
      <c r="F369" s="47">
        <v>270</v>
      </c>
      <c r="G369" s="47">
        <v>52110</v>
      </c>
      <c r="H369" s="47" t="s">
        <v>1025</v>
      </c>
      <c r="I369" s="50" t="s">
        <v>1026</v>
      </c>
      <c r="J369" s="48" t="s">
        <v>1031</v>
      </c>
      <c r="K369" s="47" t="str">
        <f t="shared" si="5"/>
        <v/>
      </c>
    </row>
    <row r="370" spans="1:11" x14ac:dyDescent="0.25">
      <c r="A370" t="s">
        <v>378</v>
      </c>
      <c r="B370" s="48">
        <v>46026</v>
      </c>
      <c r="C370" t="s">
        <v>1014</v>
      </c>
      <c r="D370" t="s">
        <v>1022</v>
      </c>
      <c r="E370" s="47">
        <v>174</v>
      </c>
      <c r="F370" s="47">
        <v>716</v>
      </c>
      <c r="G370" s="47">
        <v>124584</v>
      </c>
      <c r="H370" s="47" t="s">
        <v>1025</v>
      </c>
      <c r="I370" s="50" t="s">
        <v>1026</v>
      </c>
      <c r="J370" s="48" t="s">
        <v>1031</v>
      </c>
      <c r="K370" s="47" t="str">
        <f t="shared" si="5"/>
        <v/>
      </c>
    </row>
    <row r="371" spans="1:11" x14ac:dyDescent="0.25">
      <c r="A371" t="s">
        <v>379</v>
      </c>
      <c r="B371" s="48">
        <v>45818</v>
      </c>
      <c r="C371" t="s">
        <v>1014</v>
      </c>
      <c r="D371" t="s">
        <v>1023</v>
      </c>
      <c r="E371" s="47">
        <v>218</v>
      </c>
      <c r="F371" s="47">
        <v>1842</v>
      </c>
      <c r="G371" s="47">
        <v>401556</v>
      </c>
      <c r="H371" s="47" t="s">
        <v>1027</v>
      </c>
      <c r="I371" s="50" t="s">
        <v>1028</v>
      </c>
      <c r="J371" s="48">
        <v>45823</v>
      </c>
      <c r="K371" s="47">
        <f t="shared" si="5"/>
        <v>5</v>
      </c>
    </row>
    <row r="372" spans="1:11" x14ac:dyDescent="0.25">
      <c r="A372" t="s">
        <v>380</v>
      </c>
      <c r="B372" s="48">
        <v>45828</v>
      </c>
      <c r="C372" t="s">
        <v>1014</v>
      </c>
      <c r="D372" t="s">
        <v>1016</v>
      </c>
      <c r="E372" s="47">
        <v>95</v>
      </c>
      <c r="F372" s="47">
        <v>1031</v>
      </c>
      <c r="G372" s="47">
        <v>97945</v>
      </c>
      <c r="H372" s="47" t="s">
        <v>1027</v>
      </c>
      <c r="I372" s="50" t="s">
        <v>1029</v>
      </c>
      <c r="J372" s="48" t="s">
        <v>1031</v>
      </c>
      <c r="K372" s="47" t="str">
        <f t="shared" si="5"/>
        <v/>
      </c>
    </row>
    <row r="373" spans="1:11" x14ac:dyDescent="0.25">
      <c r="A373" t="s">
        <v>381</v>
      </c>
      <c r="B373" s="48">
        <v>45805</v>
      </c>
      <c r="C373" t="s">
        <v>1010</v>
      </c>
      <c r="D373" t="s">
        <v>1017</v>
      </c>
      <c r="E373" s="47">
        <v>141</v>
      </c>
      <c r="F373" s="47">
        <v>999</v>
      </c>
      <c r="G373" s="47">
        <v>140859</v>
      </c>
      <c r="H373" s="47" t="s">
        <v>1027</v>
      </c>
      <c r="I373" s="50" t="s">
        <v>1026</v>
      </c>
      <c r="J373" s="48" t="s">
        <v>1031</v>
      </c>
      <c r="K373" s="47" t="str">
        <f t="shared" si="5"/>
        <v/>
      </c>
    </row>
    <row r="374" spans="1:11" x14ac:dyDescent="0.25">
      <c r="A374" t="s">
        <v>382</v>
      </c>
      <c r="B374" s="48">
        <v>45917</v>
      </c>
      <c r="C374" t="s">
        <v>1010</v>
      </c>
      <c r="D374" t="s">
        <v>1016</v>
      </c>
      <c r="E374" s="47">
        <v>11</v>
      </c>
      <c r="F374" s="47">
        <v>817</v>
      </c>
      <c r="G374" s="47">
        <v>8987</v>
      </c>
      <c r="H374" s="47" t="s">
        <v>1027</v>
      </c>
      <c r="I374" s="50" t="s">
        <v>1026</v>
      </c>
      <c r="J374" s="48" t="s">
        <v>1031</v>
      </c>
      <c r="K374" s="47" t="str">
        <f t="shared" si="5"/>
        <v/>
      </c>
    </row>
    <row r="375" spans="1:11" x14ac:dyDescent="0.25">
      <c r="A375" t="s">
        <v>383</v>
      </c>
      <c r="B375" s="48">
        <v>45751</v>
      </c>
      <c r="C375" t="s">
        <v>1012</v>
      </c>
      <c r="D375" t="s">
        <v>1018</v>
      </c>
      <c r="E375" s="47">
        <v>429</v>
      </c>
      <c r="F375" s="47">
        <v>1283</v>
      </c>
      <c r="G375" s="47">
        <v>550407</v>
      </c>
      <c r="H375" s="47" t="s">
        <v>1030</v>
      </c>
      <c r="I375" s="50" t="s">
        <v>1029</v>
      </c>
      <c r="J375" s="48" t="s">
        <v>1031</v>
      </c>
      <c r="K375" s="47" t="str">
        <f t="shared" si="5"/>
        <v/>
      </c>
    </row>
    <row r="376" spans="1:11" x14ac:dyDescent="0.25">
      <c r="A376" t="s">
        <v>384</v>
      </c>
      <c r="B376" s="48">
        <v>46011</v>
      </c>
      <c r="C376" t="s">
        <v>1012</v>
      </c>
      <c r="D376" t="s">
        <v>1024</v>
      </c>
      <c r="E376" s="47">
        <v>262</v>
      </c>
      <c r="F376" s="47">
        <v>1241</v>
      </c>
      <c r="G376" s="47">
        <v>325142</v>
      </c>
      <c r="H376" s="47" t="s">
        <v>1030</v>
      </c>
      <c r="I376" s="50" t="s">
        <v>1026</v>
      </c>
      <c r="J376" s="48" t="s">
        <v>1031</v>
      </c>
      <c r="K376" s="47" t="str">
        <f t="shared" si="5"/>
        <v/>
      </c>
    </row>
    <row r="377" spans="1:11" x14ac:dyDescent="0.25">
      <c r="A377" t="s">
        <v>385</v>
      </c>
      <c r="B377" s="48">
        <v>45816</v>
      </c>
      <c r="C377" t="s">
        <v>1012</v>
      </c>
      <c r="D377" t="s">
        <v>1020</v>
      </c>
      <c r="E377" s="47">
        <v>383</v>
      </c>
      <c r="F377" s="47">
        <v>1499</v>
      </c>
      <c r="G377" s="47">
        <v>574117</v>
      </c>
      <c r="H377" s="47" t="s">
        <v>1025</v>
      </c>
      <c r="I377" s="50" t="s">
        <v>1029</v>
      </c>
      <c r="J377" s="48" t="s">
        <v>1031</v>
      </c>
      <c r="K377" s="47" t="str">
        <f t="shared" si="5"/>
        <v/>
      </c>
    </row>
    <row r="378" spans="1:11" x14ac:dyDescent="0.25">
      <c r="A378" t="s">
        <v>386</v>
      </c>
      <c r="B378" s="48">
        <v>46016</v>
      </c>
      <c r="C378" t="s">
        <v>1011</v>
      </c>
      <c r="D378" t="s">
        <v>1017</v>
      </c>
      <c r="E378" s="47">
        <v>85</v>
      </c>
      <c r="F378" s="47">
        <v>68</v>
      </c>
      <c r="G378" s="47">
        <v>5780</v>
      </c>
      <c r="H378" s="47" t="s">
        <v>1025</v>
      </c>
      <c r="I378" s="50" t="s">
        <v>1029</v>
      </c>
      <c r="J378" s="48" t="s">
        <v>1031</v>
      </c>
      <c r="K378" s="47" t="str">
        <f t="shared" si="5"/>
        <v/>
      </c>
    </row>
    <row r="379" spans="1:11" x14ac:dyDescent="0.25">
      <c r="A379" t="s">
        <v>387</v>
      </c>
      <c r="B379" s="48">
        <v>46028</v>
      </c>
      <c r="C379" t="s">
        <v>1011</v>
      </c>
      <c r="D379" t="s">
        <v>1023</v>
      </c>
      <c r="E379" s="47">
        <v>332</v>
      </c>
      <c r="F379" s="47">
        <v>970</v>
      </c>
      <c r="G379" s="47">
        <v>322040</v>
      </c>
      <c r="H379" s="47" t="s">
        <v>1030</v>
      </c>
      <c r="I379" s="50" t="s">
        <v>1029</v>
      </c>
      <c r="J379" s="48" t="s">
        <v>1031</v>
      </c>
      <c r="K379" s="47" t="str">
        <f t="shared" si="5"/>
        <v/>
      </c>
    </row>
    <row r="380" spans="1:11" x14ac:dyDescent="0.25">
      <c r="A380" t="s">
        <v>388</v>
      </c>
      <c r="B380" s="48">
        <v>45710</v>
      </c>
      <c r="C380" t="s">
        <v>1010</v>
      </c>
      <c r="D380" t="s">
        <v>1018</v>
      </c>
      <c r="E380" s="47">
        <v>20</v>
      </c>
      <c r="F380" s="47">
        <v>269</v>
      </c>
      <c r="G380" s="47">
        <v>5380</v>
      </c>
      <c r="H380" s="47" t="s">
        <v>1027</v>
      </c>
      <c r="I380" s="50" t="s">
        <v>1028</v>
      </c>
      <c r="J380" s="48">
        <v>45719</v>
      </c>
      <c r="K380" s="47">
        <f t="shared" si="5"/>
        <v>9</v>
      </c>
    </row>
    <row r="381" spans="1:11" x14ac:dyDescent="0.25">
      <c r="A381" t="s">
        <v>389</v>
      </c>
      <c r="B381" s="48">
        <v>45833</v>
      </c>
      <c r="C381" t="s">
        <v>1011</v>
      </c>
      <c r="D381" t="s">
        <v>1019</v>
      </c>
      <c r="E381" s="47">
        <v>96</v>
      </c>
      <c r="F381" s="47">
        <v>24</v>
      </c>
      <c r="G381" s="47">
        <v>2304</v>
      </c>
      <c r="H381" s="47" t="s">
        <v>1030</v>
      </c>
      <c r="I381" s="50" t="s">
        <v>1029</v>
      </c>
      <c r="J381" s="48" t="s">
        <v>1031</v>
      </c>
      <c r="K381" s="47" t="str">
        <f t="shared" si="5"/>
        <v/>
      </c>
    </row>
    <row r="382" spans="1:11" x14ac:dyDescent="0.25">
      <c r="A382" t="s">
        <v>390</v>
      </c>
      <c r="B382" s="48">
        <v>45810</v>
      </c>
      <c r="C382" t="s">
        <v>1013</v>
      </c>
      <c r="D382" t="s">
        <v>1016</v>
      </c>
      <c r="E382" s="47">
        <v>228</v>
      </c>
      <c r="F382" s="47">
        <v>1764</v>
      </c>
      <c r="G382" s="47">
        <v>402192</v>
      </c>
      <c r="H382" s="47" t="s">
        <v>1027</v>
      </c>
      <c r="I382" s="50" t="s">
        <v>1028</v>
      </c>
      <c r="J382" s="48">
        <v>45820</v>
      </c>
      <c r="K382" s="47">
        <f t="shared" si="5"/>
        <v>10</v>
      </c>
    </row>
    <row r="383" spans="1:11" x14ac:dyDescent="0.25">
      <c r="A383" t="s">
        <v>391</v>
      </c>
      <c r="B383" s="48">
        <v>46044</v>
      </c>
      <c r="C383" t="s">
        <v>1010</v>
      </c>
      <c r="D383" t="s">
        <v>1021</v>
      </c>
      <c r="E383" s="47">
        <v>293</v>
      </c>
      <c r="F383" s="47">
        <v>1337</v>
      </c>
      <c r="G383" s="47">
        <v>391741</v>
      </c>
      <c r="H383" s="47" t="s">
        <v>1030</v>
      </c>
      <c r="I383" s="50" t="s">
        <v>1029</v>
      </c>
      <c r="J383" s="48" t="s">
        <v>1031</v>
      </c>
      <c r="K383" s="47" t="str">
        <f t="shared" si="5"/>
        <v/>
      </c>
    </row>
    <row r="384" spans="1:11" x14ac:dyDescent="0.25">
      <c r="A384" t="s">
        <v>392</v>
      </c>
      <c r="B384" s="48">
        <v>46019</v>
      </c>
      <c r="C384" t="s">
        <v>1012</v>
      </c>
      <c r="D384" t="s">
        <v>1024</v>
      </c>
      <c r="E384" s="47">
        <v>283</v>
      </c>
      <c r="F384" s="47">
        <v>754</v>
      </c>
      <c r="G384" s="47">
        <v>213382</v>
      </c>
      <c r="H384" s="47" t="s">
        <v>1030</v>
      </c>
      <c r="I384" s="50" t="s">
        <v>1028</v>
      </c>
      <c r="J384" s="48">
        <v>46031</v>
      </c>
      <c r="K384" s="47">
        <f t="shared" si="5"/>
        <v>12</v>
      </c>
    </row>
    <row r="385" spans="1:11" x14ac:dyDescent="0.25">
      <c r="A385" t="s">
        <v>393</v>
      </c>
      <c r="B385" s="48">
        <v>45809</v>
      </c>
      <c r="C385" t="s">
        <v>1012</v>
      </c>
      <c r="D385" t="s">
        <v>1022</v>
      </c>
      <c r="E385" s="47">
        <v>152</v>
      </c>
      <c r="F385" s="47">
        <v>541</v>
      </c>
      <c r="G385" s="47">
        <v>82232</v>
      </c>
      <c r="H385" s="47" t="s">
        <v>1025</v>
      </c>
      <c r="I385" s="50" t="s">
        <v>1028</v>
      </c>
      <c r="J385" s="48">
        <v>45815</v>
      </c>
      <c r="K385" s="47">
        <f t="shared" si="5"/>
        <v>6</v>
      </c>
    </row>
    <row r="386" spans="1:11" x14ac:dyDescent="0.25">
      <c r="A386" t="s">
        <v>394</v>
      </c>
      <c r="B386" s="48">
        <v>45972</v>
      </c>
      <c r="C386" t="s">
        <v>1010</v>
      </c>
      <c r="D386" t="s">
        <v>1015</v>
      </c>
      <c r="E386" s="47">
        <v>445</v>
      </c>
      <c r="F386" s="47">
        <v>1470</v>
      </c>
      <c r="G386" s="47">
        <v>654150</v>
      </c>
      <c r="H386" s="47" t="s">
        <v>1027</v>
      </c>
      <c r="I386" s="50" t="s">
        <v>1028</v>
      </c>
      <c r="J386" s="48">
        <v>45978</v>
      </c>
      <c r="K386" s="47">
        <f t="shared" ref="K386:K449" si="6">IF(J386="", "", J386-B386)</f>
        <v>6</v>
      </c>
    </row>
    <row r="387" spans="1:11" x14ac:dyDescent="0.25">
      <c r="A387" t="s">
        <v>395</v>
      </c>
      <c r="B387" s="48">
        <v>45917</v>
      </c>
      <c r="C387" t="s">
        <v>1010</v>
      </c>
      <c r="D387" t="s">
        <v>1017</v>
      </c>
      <c r="E387" s="47">
        <v>140</v>
      </c>
      <c r="F387" s="47">
        <v>1908</v>
      </c>
      <c r="G387" s="47">
        <v>267120</v>
      </c>
      <c r="H387" s="47" t="s">
        <v>1030</v>
      </c>
      <c r="I387" s="50" t="s">
        <v>1026</v>
      </c>
      <c r="J387" s="48" t="s">
        <v>1031</v>
      </c>
      <c r="K387" s="47" t="str">
        <f t="shared" si="6"/>
        <v/>
      </c>
    </row>
    <row r="388" spans="1:11" x14ac:dyDescent="0.25">
      <c r="A388" t="s">
        <v>396</v>
      </c>
      <c r="B388" s="48">
        <v>45857</v>
      </c>
      <c r="C388" t="s">
        <v>1011</v>
      </c>
      <c r="D388" t="s">
        <v>1021</v>
      </c>
      <c r="E388" s="47">
        <v>377</v>
      </c>
      <c r="F388" s="47">
        <v>1219</v>
      </c>
      <c r="G388" s="47">
        <v>459563</v>
      </c>
      <c r="H388" s="47" t="s">
        <v>1027</v>
      </c>
      <c r="I388" s="50" t="s">
        <v>1026</v>
      </c>
      <c r="J388" s="48" t="s">
        <v>1031</v>
      </c>
      <c r="K388" s="47" t="str">
        <f t="shared" si="6"/>
        <v/>
      </c>
    </row>
    <row r="389" spans="1:11" x14ac:dyDescent="0.25">
      <c r="A389" t="s">
        <v>397</v>
      </c>
      <c r="B389" s="48">
        <v>45736</v>
      </c>
      <c r="C389" t="s">
        <v>1014</v>
      </c>
      <c r="D389" t="s">
        <v>1017</v>
      </c>
      <c r="E389" s="47">
        <v>424</v>
      </c>
      <c r="F389" s="47">
        <v>773</v>
      </c>
      <c r="G389" s="47">
        <v>327752</v>
      </c>
      <c r="H389" s="47" t="s">
        <v>1027</v>
      </c>
      <c r="I389" s="50" t="s">
        <v>1028</v>
      </c>
      <c r="J389" s="48">
        <v>45749</v>
      </c>
      <c r="K389" s="47">
        <f t="shared" si="6"/>
        <v>13</v>
      </c>
    </row>
    <row r="390" spans="1:11" x14ac:dyDescent="0.25">
      <c r="A390" t="s">
        <v>398</v>
      </c>
      <c r="B390" s="48">
        <v>46035</v>
      </c>
      <c r="C390" t="s">
        <v>1010</v>
      </c>
      <c r="D390" t="s">
        <v>1017</v>
      </c>
      <c r="E390" s="47">
        <v>386</v>
      </c>
      <c r="F390" s="47">
        <v>384</v>
      </c>
      <c r="G390" s="47">
        <v>148224</v>
      </c>
      <c r="H390" s="47" t="s">
        <v>1027</v>
      </c>
      <c r="I390" s="50" t="s">
        <v>1028</v>
      </c>
      <c r="J390" s="48">
        <v>46042</v>
      </c>
      <c r="K390" s="47">
        <f t="shared" si="6"/>
        <v>7</v>
      </c>
    </row>
    <row r="391" spans="1:11" x14ac:dyDescent="0.25">
      <c r="A391" t="s">
        <v>399</v>
      </c>
      <c r="B391" s="48">
        <v>45736</v>
      </c>
      <c r="C391" t="s">
        <v>1013</v>
      </c>
      <c r="D391" t="s">
        <v>1018</v>
      </c>
      <c r="E391" s="47">
        <v>118</v>
      </c>
      <c r="F391" s="47">
        <v>832</v>
      </c>
      <c r="G391" s="47">
        <v>98176</v>
      </c>
      <c r="H391" s="47" t="s">
        <v>1030</v>
      </c>
      <c r="I391" s="50" t="s">
        <v>1028</v>
      </c>
      <c r="J391" s="48">
        <v>45745</v>
      </c>
      <c r="K391" s="47">
        <f t="shared" si="6"/>
        <v>9</v>
      </c>
    </row>
    <row r="392" spans="1:11" x14ac:dyDescent="0.25">
      <c r="A392" t="s">
        <v>400</v>
      </c>
      <c r="B392" s="48">
        <v>45943</v>
      </c>
      <c r="C392" t="s">
        <v>1014</v>
      </c>
      <c r="D392" t="s">
        <v>1021</v>
      </c>
      <c r="E392" s="47">
        <v>265</v>
      </c>
      <c r="F392" s="47">
        <v>1526</v>
      </c>
      <c r="G392" s="47">
        <v>404390</v>
      </c>
      <c r="H392" s="47" t="s">
        <v>1030</v>
      </c>
      <c r="I392" s="50" t="s">
        <v>1028</v>
      </c>
      <c r="J392" s="48">
        <v>45950</v>
      </c>
      <c r="K392" s="47">
        <f t="shared" si="6"/>
        <v>7</v>
      </c>
    </row>
    <row r="393" spans="1:11" x14ac:dyDescent="0.25">
      <c r="A393" t="s">
        <v>401</v>
      </c>
      <c r="B393" s="48">
        <v>45776</v>
      </c>
      <c r="C393" t="s">
        <v>1013</v>
      </c>
      <c r="D393" t="s">
        <v>1016</v>
      </c>
      <c r="E393" s="47">
        <v>274</v>
      </c>
      <c r="F393" s="47">
        <v>57</v>
      </c>
      <c r="G393" s="47">
        <v>15618</v>
      </c>
      <c r="H393" s="47" t="s">
        <v>1030</v>
      </c>
      <c r="I393" s="50" t="s">
        <v>1028</v>
      </c>
      <c r="J393" s="48">
        <v>45788</v>
      </c>
      <c r="K393" s="47">
        <f t="shared" si="6"/>
        <v>12</v>
      </c>
    </row>
    <row r="394" spans="1:11" x14ac:dyDescent="0.25">
      <c r="A394" t="s">
        <v>402</v>
      </c>
      <c r="B394" s="48">
        <v>45905</v>
      </c>
      <c r="C394" t="s">
        <v>1014</v>
      </c>
      <c r="D394" t="s">
        <v>1015</v>
      </c>
      <c r="E394" s="47">
        <v>302</v>
      </c>
      <c r="F394" s="47">
        <v>1971</v>
      </c>
      <c r="G394" s="47">
        <v>595242</v>
      </c>
      <c r="H394" s="47" t="s">
        <v>1025</v>
      </c>
      <c r="I394" s="50" t="s">
        <v>1028</v>
      </c>
      <c r="J394" s="48">
        <v>45919</v>
      </c>
      <c r="K394" s="47">
        <f t="shared" si="6"/>
        <v>14</v>
      </c>
    </row>
    <row r="395" spans="1:11" x14ac:dyDescent="0.25">
      <c r="A395" t="s">
        <v>403</v>
      </c>
      <c r="B395" s="48">
        <v>45895</v>
      </c>
      <c r="C395" t="s">
        <v>1014</v>
      </c>
      <c r="D395" t="s">
        <v>1021</v>
      </c>
      <c r="E395" s="47">
        <v>484</v>
      </c>
      <c r="F395" s="47">
        <v>1109</v>
      </c>
      <c r="G395" s="47">
        <v>536756</v>
      </c>
      <c r="H395" s="47" t="s">
        <v>1030</v>
      </c>
      <c r="I395" s="50" t="s">
        <v>1028</v>
      </c>
      <c r="J395" s="48">
        <v>45906</v>
      </c>
      <c r="K395" s="47">
        <f t="shared" si="6"/>
        <v>11</v>
      </c>
    </row>
    <row r="396" spans="1:11" x14ac:dyDescent="0.25">
      <c r="A396" t="s">
        <v>404</v>
      </c>
      <c r="B396" s="48">
        <v>45798</v>
      </c>
      <c r="C396" t="s">
        <v>1011</v>
      </c>
      <c r="D396" t="s">
        <v>1022</v>
      </c>
      <c r="E396" s="47">
        <v>247</v>
      </c>
      <c r="F396" s="47">
        <v>579</v>
      </c>
      <c r="G396" s="47">
        <v>143013</v>
      </c>
      <c r="H396" s="47" t="s">
        <v>1027</v>
      </c>
      <c r="I396" s="50" t="s">
        <v>1026</v>
      </c>
      <c r="J396" s="48" t="s">
        <v>1031</v>
      </c>
      <c r="K396" s="47" t="str">
        <f t="shared" si="6"/>
        <v/>
      </c>
    </row>
    <row r="397" spans="1:11" x14ac:dyDescent="0.25">
      <c r="A397" t="s">
        <v>405</v>
      </c>
      <c r="B397" s="48">
        <v>45830</v>
      </c>
      <c r="C397" t="s">
        <v>1012</v>
      </c>
      <c r="D397" t="s">
        <v>1016</v>
      </c>
      <c r="E397" s="47">
        <v>303</v>
      </c>
      <c r="F397" s="47">
        <v>139</v>
      </c>
      <c r="G397" s="47">
        <v>42117</v>
      </c>
      <c r="H397" s="47" t="s">
        <v>1025</v>
      </c>
      <c r="I397" s="50" t="s">
        <v>1028</v>
      </c>
      <c r="J397" s="48">
        <v>45839</v>
      </c>
      <c r="K397" s="47">
        <f t="shared" si="6"/>
        <v>9</v>
      </c>
    </row>
    <row r="398" spans="1:11" x14ac:dyDescent="0.25">
      <c r="A398" t="s">
        <v>406</v>
      </c>
      <c r="B398" s="48">
        <v>46002</v>
      </c>
      <c r="C398" t="s">
        <v>1011</v>
      </c>
      <c r="D398" t="s">
        <v>1018</v>
      </c>
      <c r="E398" s="47">
        <v>230</v>
      </c>
      <c r="F398" s="47">
        <v>889</v>
      </c>
      <c r="G398" s="47">
        <v>204470</v>
      </c>
      <c r="H398" s="47" t="s">
        <v>1027</v>
      </c>
      <c r="I398" s="50" t="s">
        <v>1026</v>
      </c>
      <c r="J398" s="48" t="s">
        <v>1031</v>
      </c>
      <c r="K398" s="47" t="str">
        <f t="shared" si="6"/>
        <v/>
      </c>
    </row>
    <row r="399" spans="1:11" x14ac:dyDescent="0.25">
      <c r="A399" t="s">
        <v>407</v>
      </c>
      <c r="B399" s="48">
        <v>45712</v>
      </c>
      <c r="C399" t="s">
        <v>1010</v>
      </c>
      <c r="D399" t="s">
        <v>1015</v>
      </c>
      <c r="E399" s="47">
        <v>456</v>
      </c>
      <c r="F399" s="47">
        <v>1350</v>
      </c>
      <c r="G399" s="47">
        <v>615600</v>
      </c>
      <c r="H399" s="47" t="s">
        <v>1025</v>
      </c>
      <c r="I399" s="50" t="s">
        <v>1029</v>
      </c>
      <c r="J399" s="48" t="s">
        <v>1031</v>
      </c>
      <c r="K399" s="47" t="str">
        <f t="shared" si="6"/>
        <v/>
      </c>
    </row>
    <row r="400" spans="1:11" x14ac:dyDescent="0.25">
      <c r="A400" t="s">
        <v>408</v>
      </c>
      <c r="B400" s="48">
        <v>46011</v>
      </c>
      <c r="C400" t="s">
        <v>1013</v>
      </c>
      <c r="D400" t="s">
        <v>1023</v>
      </c>
      <c r="E400" s="47">
        <v>88</v>
      </c>
      <c r="F400" s="47">
        <v>997</v>
      </c>
      <c r="G400" s="47">
        <v>87736</v>
      </c>
      <c r="H400" s="47" t="s">
        <v>1030</v>
      </c>
      <c r="I400" s="50" t="s">
        <v>1029</v>
      </c>
      <c r="J400" s="48" t="s">
        <v>1031</v>
      </c>
      <c r="K400" s="47" t="str">
        <f t="shared" si="6"/>
        <v/>
      </c>
    </row>
    <row r="401" spans="1:11" x14ac:dyDescent="0.25">
      <c r="A401" t="s">
        <v>409</v>
      </c>
      <c r="B401" s="48">
        <v>45716</v>
      </c>
      <c r="C401" t="s">
        <v>1010</v>
      </c>
      <c r="D401" t="s">
        <v>1017</v>
      </c>
      <c r="E401" s="47">
        <v>215</v>
      </c>
      <c r="F401" s="47">
        <v>1043</v>
      </c>
      <c r="G401" s="47">
        <v>224245</v>
      </c>
      <c r="H401" s="47" t="s">
        <v>1027</v>
      </c>
      <c r="I401" s="50" t="s">
        <v>1026</v>
      </c>
      <c r="J401" s="48" t="s">
        <v>1031</v>
      </c>
      <c r="K401" s="47" t="str">
        <f t="shared" si="6"/>
        <v/>
      </c>
    </row>
    <row r="402" spans="1:11" x14ac:dyDescent="0.25">
      <c r="A402" t="s">
        <v>410</v>
      </c>
      <c r="B402" s="48">
        <v>45934</v>
      </c>
      <c r="C402" t="s">
        <v>1014</v>
      </c>
      <c r="D402" t="s">
        <v>1016</v>
      </c>
      <c r="E402" s="47">
        <v>490</v>
      </c>
      <c r="F402" s="47">
        <v>1645</v>
      </c>
      <c r="G402" s="47">
        <v>806050</v>
      </c>
      <c r="H402" s="47" t="s">
        <v>1027</v>
      </c>
      <c r="I402" s="50" t="s">
        <v>1028</v>
      </c>
      <c r="J402" s="48">
        <v>45949</v>
      </c>
      <c r="K402" s="47">
        <f t="shared" si="6"/>
        <v>15</v>
      </c>
    </row>
    <row r="403" spans="1:11" x14ac:dyDescent="0.25">
      <c r="A403" t="s">
        <v>411</v>
      </c>
      <c r="B403" s="48">
        <v>45943</v>
      </c>
      <c r="C403" t="s">
        <v>1010</v>
      </c>
      <c r="D403" t="s">
        <v>1017</v>
      </c>
      <c r="E403" s="47">
        <v>146</v>
      </c>
      <c r="F403" s="47">
        <v>1145</v>
      </c>
      <c r="G403" s="47">
        <v>167170</v>
      </c>
      <c r="H403" s="47" t="s">
        <v>1027</v>
      </c>
      <c r="I403" s="50" t="s">
        <v>1029</v>
      </c>
      <c r="J403" s="48" t="s">
        <v>1031</v>
      </c>
      <c r="K403" s="47" t="str">
        <f t="shared" si="6"/>
        <v/>
      </c>
    </row>
    <row r="404" spans="1:11" x14ac:dyDescent="0.25">
      <c r="A404" t="s">
        <v>412</v>
      </c>
      <c r="B404" s="48">
        <v>45950</v>
      </c>
      <c r="C404" t="s">
        <v>1012</v>
      </c>
      <c r="D404" t="s">
        <v>1023</v>
      </c>
      <c r="E404" s="47">
        <v>279</v>
      </c>
      <c r="F404" s="47">
        <v>899</v>
      </c>
      <c r="G404" s="47">
        <v>250821</v>
      </c>
      <c r="H404" s="47" t="s">
        <v>1027</v>
      </c>
      <c r="I404" s="50" t="s">
        <v>1028</v>
      </c>
      <c r="J404" s="48">
        <v>45958</v>
      </c>
      <c r="K404" s="47">
        <f t="shared" si="6"/>
        <v>8</v>
      </c>
    </row>
    <row r="405" spans="1:11" x14ac:dyDescent="0.25">
      <c r="A405" t="s">
        <v>413</v>
      </c>
      <c r="B405" s="48">
        <v>45705</v>
      </c>
      <c r="C405" t="s">
        <v>1013</v>
      </c>
      <c r="D405" t="s">
        <v>1016</v>
      </c>
      <c r="E405" s="47">
        <v>120</v>
      </c>
      <c r="F405" s="47">
        <v>728</v>
      </c>
      <c r="G405" s="47">
        <v>87360</v>
      </c>
      <c r="H405" s="47" t="s">
        <v>1027</v>
      </c>
      <c r="I405" s="50" t="s">
        <v>1029</v>
      </c>
      <c r="J405" s="48" t="s">
        <v>1031</v>
      </c>
      <c r="K405" s="47" t="str">
        <f t="shared" si="6"/>
        <v/>
      </c>
    </row>
    <row r="406" spans="1:11" x14ac:dyDescent="0.25">
      <c r="A406" t="s">
        <v>414</v>
      </c>
      <c r="B406" s="48">
        <v>46045</v>
      </c>
      <c r="C406" t="s">
        <v>1011</v>
      </c>
      <c r="D406" t="s">
        <v>1024</v>
      </c>
      <c r="E406" s="47">
        <v>56</v>
      </c>
      <c r="F406" s="47">
        <v>484</v>
      </c>
      <c r="G406" s="47">
        <v>27104</v>
      </c>
      <c r="H406" s="47" t="s">
        <v>1025</v>
      </c>
      <c r="I406" s="50" t="s">
        <v>1028</v>
      </c>
      <c r="J406" s="48">
        <v>46051</v>
      </c>
      <c r="K406" s="47">
        <f t="shared" si="6"/>
        <v>6</v>
      </c>
    </row>
    <row r="407" spans="1:11" x14ac:dyDescent="0.25">
      <c r="A407" t="s">
        <v>415</v>
      </c>
      <c r="B407" s="48">
        <v>45964</v>
      </c>
      <c r="C407" t="s">
        <v>1012</v>
      </c>
      <c r="D407" t="s">
        <v>1020</v>
      </c>
      <c r="E407" s="47">
        <v>67</v>
      </c>
      <c r="F407" s="47">
        <v>1719</v>
      </c>
      <c r="G407" s="47">
        <v>115173</v>
      </c>
      <c r="H407" s="47" t="s">
        <v>1025</v>
      </c>
      <c r="I407" s="50" t="s">
        <v>1026</v>
      </c>
      <c r="J407" s="48" t="s">
        <v>1031</v>
      </c>
      <c r="K407" s="47" t="str">
        <f t="shared" si="6"/>
        <v/>
      </c>
    </row>
    <row r="408" spans="1:11" x14ac:dyDescent="0.25">
      <c r="A408" t="s">
        <v>416</v>
      </c>
      <c r="B408" s="48">
        <v>45756</v>
      </c>
      <c r="C408" t="s">
        <v>1011</v>
      </c>
      <c r="D408" t="s">
        <v>1016</v>
      </c>
      <c r="E408" s="47">
        <v>131</v>
      </c>
      <c r="F408" s="47">
        <v>1738</v>
      </c>
      <c r="G408" s="47">
        <v>227678</v>
      </c>
      <c r="H408" s="47" t="s">
        <v>1030</v>
      </c>
      <c r="I408" s="50" t="s">
        <v>1028</v>
      </c>
      <c r="J408" s="48">
        <v>45765</v>
      </c>
      <c r="K408" s="47">
        <f t="shared" si="6"/>
        <v>9</v>
      </c>
    </row>
    <row r="409" spans="1:11" x14ac:dyDescent="0.25">
      <c r="A409" t="s">
        <v>417</v>
      </c>
      <c r="B409" s="48">
        <v>45868</v>
      </c>
      <c r="C409" t="s">
        <v>1011</v>
      </c>
      <c r="D409" t="s">
        <v>1024</v>
      </c>
      <c r="E409" s="47">
        <v>188</v>
      </c>
      <c r="F409" s="47">
        <v>1266</v>
      </c>
      <c r="G409" s="47">
        <v>238008</v>
      </c>
      <c r="H409" s="47" t="s">
        <v>1030</v>
      </c>
      <c r="I409" s="50" t="s">
        <v>1029</v>
      </c>
      <c r="J409" s="48" t="s">
        <v>1031</v>
      </c>
      <c r="K409" s="47" t="str">
        <f t="shared" si="6"/>
        <v/>
      </c>
    </row>
    <row r="410" spans="1:11" x14ac:dyDescent="0.25">
      <c r="A410" t="s">
        <v>418</v>
      </c>
      <c r="B410" s="48">
        <v>45877</v>
      </c>
      <c r="C410" t="s">
        <v>1011</v>
      </c>
      <c r="D410" t="s">
        <v>1019</v>
      </c>
      <c r="E410" s="47">
        <v>24</v>
      </c>
      <c r="F410" s="47">
        <v>1995</v>
      </c>
      <c r="G410" s="47">
        <v>47880</v>
      </c>
      <c r="H410" s="47" t="s">
        <v>1027</v>
      </c>
      <c r="I410" s="50" t="s">
        <v>1026</v>
      </c>
      <c r="J410" s="48" t="s">
        <v>1031</v>
      </c>
      <c r="K410" s="47" t="str">
        <f t="shared" si="6"/>
        <v/>
      </c>
    </row>
    <row r="411" spans="1:11" x14ac:dyDescent="0.25">
      <c r="A411" t="s">
        <v>419</v>
      </c>
      <c r="B411" s="48">
        <v>45738</v>
      </c>
      <c r="C411" t="s">
        <v>1014</v>
      </c>
      <c r="D411" t="s">
        <v>1018</v>
      </c>
      <c r="E411" s="47">
        <v>143</v>
      </c>
      <c r="F411" s="47">
        <v>1916</v>
      </c>
      <c r="G411" s="47">
        <v>273988</v>
      </c>
      <c r="H411" s="47" t="s">
        <v>1027</v>
      </c>
      <c r="I411" s="50" t="s">
        <v>1026</v>
      </c>
      <c r="J411" s="48" t="s">
        <v>1031</v>
      </c>
      <c r="K411" s="47" t="str">
        <f t="shared" si="6"/>
        <v/>
      </c>
    </row>
    <row r="412" spans="1:11" x14ac:dyDescent="0.25">
      <c r="A412" t="s">
        <v>420</v>
      </c>
      <c r="B412" s="48">
        <v>45677</v>
      </c>
      <c r="C412" t="s">
        <v>1014</v>
      </c>
      <c r="D412" t="s">
        <v>1016</v>
      </c>
      <c r="E412" s="47">
        <v>8</v>
      </c>
      <c r="F412" s="47">
        <v>97</v>
      </c>
      <c r="G412" s="47">
        <v>776</v>
      </c>
      <c r="H412" s="47" t="s">
        <v>1025</v>
      </c>
      <c r="I412" s="50" t="s">
        <v>1029</v>
      </c>
      <c r="J412" s="48" t="s">
        <v>1031</v>
      </c>
      <c r="K412" s="47" t="str">
        <f t="shared" si="6"/>
        <v/>
      </c>
    </row>
    <row r="413" spans="1:11" x14ac:dyDescent="0.25">
      <c r="A413" t="s">
        <v>421</v>
      </c>
      <c r="B413" s="48">
        <v>45802</v>
      </c>
      <c r="C413" t="s">
        <v>1014</v>
      </c>
      <c r="D413" t="s">
        <v>1024</v>
      </c>
      <c r="E413" s="47">
        <v>152</v>
      </c>
      <c r="F413" s="47">
        <v>831</v>
      </c>
      <c r="G413" s="47">
        <v>126312</v>
      </c>
      <c r="H413" s="47" t="s">
        <v>1025</v>
      </c>
      <c r="I413" s="50" t="s">
        <v>1028</v>
      </c>
      <c r="J413" s="48">
        <v>45814</v>
      </c>
      <c r="K413" s="47">
        <f t="shared" si="6"/>
        <v>12</v>
      </c>
    </row>
    <row r="414" spans="1:11" x14ac:dyDescent="0.25">
      <c r="A414" t="s">
        <v>422</v>
      </c>
      <c r="B414" s="48">
        <v>45737</v>
      </c>
      <c r="C414" t="s">
        <v>1011</v>
      </c>
      <c r="D414" t="s">
        <v>1019</v>
      </c>
      <c r="E414" s="47">
        <v>457</v>
      </c>
      <c r="F414" s="47">
        <v>610</v>
      </c>
      <c r="G414" s="47">
        <v>278770</v>
      </c>
      <c r="H414" s="47" t="s">
        <v>1030</v>
      </c>
      <c r="I414" s="50" t="s">
        <v>1028</v>
      </c>
      <c r="J414" s="48">
        <v>45747</v>
      </c>
      <c r="K414" s="47">
        <f t="shared" si="6"/>
        <v>10</v>
      </c>
    </row>
    <row r="415" spans="1:11" x14ac:dyDescent="0.25">
      <c r="A415" t="s">
        <v>423</v>
      </c>
      <c r="B415" s="48">
        <v>45658</v>
      </c>
      <c r="C415" t="s">
        <v>1012</v>
      </c>
      <c r="D415" t="s">
        <v>1017</v>
      </c>
      <c r="E415" s="47">
        <v>76</v>
      </c>
      <c r="F415" s="47">
        <v>1807</v>
      </c>
      <c r="G415" s="47">
        <v>137332</v>
      </c>
      <c r="H415" s="47" t="s">
        <v>1025</v>
      </c>
      <c r="I415" s="50" t="s">
        <v>1028</v>
      </c>
      <c r="J415" s="48">
        <v>45672</v>
      </c>
      <c r="K415" s="47">
        <f t="shared" si="6"/>
        <v>14</v>
      </c>
    </row>
    <row r="416" spans="1:11" x14ac:dyDescent="0.25">
      <c r="A416" t="s">
        <v>424</v>
      </c>
      <c r="B416" s="48">
        <v>45795</v>
      </c>
      <c r="C416" t="s">
        <v>1013</v>
      </c>
      <c r="D416" t="s">
        <v>1023</v>
      </c>
      <c r="E416" s="47">
        <v>277</v>
      </c>
      <c r="F416" s="47">
        <v>1772</v>
      </c>
      <c r="G416" s="47">
        <v>490844</v>
      </c>
      <c r="H416" s="47" t="s">
        <v>1025</v>
      </c>
      <c r="I416" s="50" t="s">
        <v>1029</v>
      </c>
      <c r="J416" s="48" t="s">
        <v>1031</v>
      </c>
      <c r="K416" s="47" t="str">
        <f t="shared" si="6"/>
        <v/>
      </c>
    </row>
    <row r="417" spans="1:11" x14ac:dyDescent="0.25">
      <c r="A417" t="s">
        <v>425</v>
      </c>
      <c r="B417" s="48">
        <v>45686</v>
      </c>
      <c r="C417" t="s">
        <v>1012</v>
      </c>
      <c r="D417" t="s">
        <v>1016</v>
      </c>
      <c r="E417" s="47">
        <v>64</v>
      </c>
      <c r="F417" s="47">
        <v>1722</v>
      </c>
      <c r="G417" s="47">
        <v>110208</v>
      </c>
      <c r="H417" s="47" t="s">
        <v>1025</v>
      </c>
      <c r="I417" s="50" t="s">
        <v>1029</v>
      </c>
      <c r="J417" s="48" t="s">
        <v>1031</v>
      </c>
      <c r="K417" s="47" t="str">
        <f t="shared" si="6"/>
        <v/>
      </c>
    </row>
    <row r="418" spans="1:11" x14ac:dyDescent="0.25">
      <c r="A418" t="s">
        <v>426</v>
      </c>
      <c r="B418" s="48">
        <v>45947</v>
      </c>
      <c r="C418" t="s">
        <v>1011</v>
      </c>
      <c r="D418" t="s">
        <v>1021</v>
      </c>
      <c r="E418" s="47">
        <v>167</v>
      </c>
      <c r="F418" s="47">
        <v>1403</v>
      </c>
      <c r="G418" s="47">
        <v>234301</v>
      </c>
      <c r="H418" s="47" t="s">
        <v>1025</v>
      </c>
      <c r="I418" s="50" t="s">
        <v>1026</v>
      </c>
      <c r="J418" s="48" t="s">
        <v>1031</v>
      </c>
      <c r="K418" s="47" t="str">
        <f t="shared" si="6"/>
        <v/>
      </c>
    </row>
    <row r="419" spans="1:11" x14ac:dyDescent="0.25">
      <c r="A419" t="s">
        <v>427</v>
      </c>
      <c r="B419" s="48">
        <v>45759</v>
      </c>
      <c r="C419" t="s">
        <v>1012</v>
      </c>
      <c r="D419" t="s">
        <v>1015</v>
      </c>
      <c r="E419" s="47">
        <v>435</v>
      </c>
      <c r="F419" s="47">
        <v>1933</v>
      </c>
      <c r="G419" s="47">
        <v>840855</v>
      </c>
      <c r="H419" s="47" t="s">
        <v>1027</v>
      </c>
      <c r="I419" s="50" t="s">
        <v>1028</v>
      </c>
      <c r="J419" s="48">
        <v>45768</v>
      </c>
      <c r="K419" s="47">
        <f t="shared" si="6"/>
        <v>9</v>
      </c>
    </row>
    <row r="420" spans="1:11" x14ac:dyDescent="0.25">
      <c r="A420" t="s">
        <v>428</v>
      </c>
      <c r="B420" s="48">
        <v>45968</v>
      </c>
      <c r="C420" t="s">
        <v>1014</v>
      </c>
      <c r="D420" t="s">
        <v>1015</v>
      </c>
      <c r="E420" s="47">
        <v>438</v>
      </c>
      <c r="F420" s="47">
        <v>913</v>
      </c>
      <c r="G420" s="47">
        <v>399894</v>
      </c>
      <c r="H420" s="47" t="s">
        <v>1027</v>
      </c>
      <c r="I420" s="50" t="s">
        <v>1029</v>
      </c>
      <c r="J420" s="48" t="s">
        <v>1031</v>
      </c>
      <c r="K420" s="47" t="str">
        <f t="shared" si="6"/>
        <v/>
      </c>
    </row>
    <row r="421" spans="1:11" x14ac:dyDescent="0.25">
      <c r="A421" t="s">
        <v>429</v>
      </c>
      <c r="B421" s="48">
        <v>45922</v>
      </c>
      <c r="C421" t="s">
        <v>1012</v>
      </c>
      <c r="D421" t="s">
        <v>1015</v>
      </c>
      <c r="E421" s="47">
        <v>93</v>
      </c>
      <c r="F421" s="47">
        <v>430</v>
      </c>
      <c r="G421" s="47">
        <v>39990</v>
      </c>
      <c r="H421" s="47" t="s">
        <v>1027</v>
      </c>
      <c r="I421" s="50" t="s">
        <v>1029</v>
      </c>
      <c r="J421" s="48" t="s">
        <v>1031</v>
      </c>
      <c r="K421" s="47" t="str">
        <f t="shared" si="6"/>
        <v/>
      </c>
    </row>
    <row r="422" spans="1:11" x14ac:dyDescent="0.25">
      <c r="A422" t="s">
        <v>430</v>
      </c>
      <c r="B422" s="48">
        <v>45780</v>
      </c>
      <c r="C422" t="s">
        <v>1010</v>
      </c>
      <c r="D422" t="s">
        <v>1023</v>
      </c>
      <c r="E422" s="47">
        <v>473</v>
      </c>
      <c r="F422" s="47">
        <v>1071</v>
      </c>
      <c r="G422" s="47">
        <v>506583</v>
      </c>
      <c r="H422" s="47" t="s">
        <v>1030</v>
      </c>
      <c r="I422" s="50" t="s">
        <v>1029</v>
      </c>
      <c r="J422" s="48" t="s">
        <v>1031</v>
      </c>
      <c r="K422" s="47" t="str">
        <f t="shared" si="6"/>
        <v/>
      </c>
    </row>
    <row r="423" spans="1:11" x14ac:dyDescent="0.25">
      <c r="A423" t="s">
        <v>431</v>
      </c>
      <c r="B423" s="48">
        <v>46037</v>
      </c>
      <c r="C423" t="s">
        <v>1011</v>
      </c>
      <c r="D423" t="s">
        <v>1021</v>
      </c>
      <c r="E423" s="47">
        <v>270</v>
      </c>
      <c r="F423" s="47">
        <v>827</v>
      </c>
      <c r="G423" s="47">
        <v>223290</v>
      </c>
      <c r="H423" s="47" t="s">
        <v>1025</v>
      </c>
      <c r="I423" s="50" t="s">
        <v>1026</v>
      </c>
      <c r="J423" s="48" t="s">
        <v>1031</v>
      </c>
      <c r="K423" s="47" t="str">
        <f t="shared" si="6"/>
        <v/>
      </c>
    </row>
    <row r="424" spans="1:11" x14ac:dyDescent="0.25">
      <c r="A424" t="s">
        <v>432</v>
      </c>
      <c r="B424" s="48">
        <v>45842</v>
      </c>
      <c r="C424" t="s">
        <v>1010</v>
      </c>
      <c r="D424" t="s">
        <v>1021</v>
      </c>
      <c r="E424" s="47">
        <v>457</v>
      </c>
      <c r="F424" s="47">
        <v>100</v>
      </c>
      <c r="G424" s="47">
        <v>45700</v>
      </c>
      <c r="H424" s="47" t="s">
        <v>1030</v>
      </c>
      <c r="I424" s="50" t="s">
        <v>1026</v>
      </c>
      <c r="J424" s="48" t="s">
        <v>1031</v>
      </c>
      <c r="K424" s="47" t="str">
        <f t="shared" si="6"/>
        <v/>
      </c>
    </row>
    <row r="425" spans="1:11" x14ac:dyDescent="0.25">
      <c r="A425" t="s">
        <v>433</v>
      </c>
      <c r="B425" s="48">
        <v>46039</v>
      </c>
      <c r="C425" t="s">
        <v>1014</v>
      </c>
      <c r="D425" t="s">
        <v>1024</v>
      </c>
      <c r="E425" s="47">
        <v>245</v>
      </c>
      <c r="F425" s="47">
        <v>509</v>
      </c>
      <c r="G425" s="47">
        <v>124705</v>
      </c>
      <c r="H425" s="47" t="s">
        <v>1025</v>
      </c>
      <c r="I425" s="50" t="s">
        <v>1029</v>
      </c>
      <c r="J425" s="48" t="s">
        <v>1031</v>
      </c>
      <c r="K425" s="47" t="str">
        <f t="shared" si="6"/>
        <v/>
      </c>
    </row>
    <row r="426" spans="1:11" x14ac:dyDescent="0.25">
      <c r="A426" t="s">
        <v>434</v>
      </c>
      <c r="B426" s="48">
        <v>45829</v>
      </c>
      <c r="C426" t="s">
        <v>1013</v>
      </c>
      <c r="D426" t="s">
        <v>1022</v>
      </c>
      <c r="E426" s="47">
        <v>240</v>
      </c>
      <c r="F426" s="47">
        <v>753</v>
      </c>
      <c r="G426" s="47">
        <v>180720</v>
      </c>
      <c r="H426" s="47" t="s">
        <v>1025</v>
      </c>
      <c r="I426" s="50" t="s">
        <v>1026</v>
      </c>
      <c r="J426" s="48" t="s">
        <v>1031</v>
      </c>
      <c r="K426" s="47" t="str">
        <f t="shared" si="6"/>
        <v/>
      </c>
    </row>
    <row r="427" spans="1:11" x14ac:dyDescent="0.25">
      <c r="A427" t="s">
        <v>435</v>
      </c>
      <c r="B427" s="48">
        <v>45752</v>
      </c>
      <c r="C427" t="s">
        <v>1014</v>
      </c>
      <c r="D427" t="s">
        <v>1023</v>
      </c>
      <c r="E427" s="47">
        <v>371</v>
      </c>
      <c r="F427" s="47">
        <v>798</v>
      </c>
      <c r="G427" s="47">
        <v>296058</v>
      </c>
      <c r="H427" s="47" t="s">
        <v>1025</v>
      </c>
      <c r="I427" s="50" t="s">
        <v>1029</v>
      </c>
      <c r="J427" s="48" t="s">
        <v>1031</v>
      </c>
      <c r="K427" s="47" t="str">
        <f t="shared" si="6"/>
        <v/>
      </c>
    </row>
    <row r="428" spans="1:11" x14ac:dyDescent="0.25">
      <c r="A428" t="s">
        <v>436</v>
      </c>
      <c r="B428" s="48">
        <v>45708</v>
      </c>
      <c r="C428" t="s">
        <v>1012</v>
      </c>
      <c r="D428" t="s">
        <v>1015</v>
      </c>
      <c r="E428" s="47">
        <v>93</v>
      </c>
      <c r="F428" s="47">
        <v>849</v>
      </c>
      <c r="G428" s="47">
        <v>78957</v>
      </c>
      <c r="H428" s="47" t="s">
        <v>1027</v>
      </c>
      <c r="I428" s="50" t="s">
        <v>1029</v>
      </c>
      <c r="J428" s="48" t="s">
        <v>1031</v>
      </c>
      <c r="K428" s="47" t="str">
        <f t="shared" si="6"/>
        <v/>
      </c>
    </row>
    <row r="429" spans="1:11" x14ac:dyDescent="0.25">
      <c r="A429" t="s">
        <v>437</v>
      </c>
      <c r="B429" s="48">
        <v>45778</v>
      </c>
      <c r="C429" t="s">
        <v>1013</v>
      </c>
      <c r="D429" t="s">
        <v>1022</v>
      </c>
      <c r="E429" s="47">
        <v>282</v>
      </c>
      <c r="F429" s="47">
        <v>756</v>
      </c>
      <c r="G429" s="47">
        <v>213192</v>
      </c>
      <c r="H429" s="47" t="s">
        <v>1025</v>
      </c>
      <c r="I429" s="50" t="s">
        <v>1026</v>
      </c>
      <c r="J429" s="48" t="s">
        <v>1031</v>
      </c>
      <c r="K429" s="47" t="str">
        <f t="shared" si="6"/>
        <v/>
      </c>
    </row>
    <row r="430" spans="1:11" x14ac:dyDescent="0.25">
      <c r="A430" t="s">
        <v>438</v>
      </c>
      <c r="B430" s="48">
        <v>45822</v>
      </c>
      <c r="C430" t="s">
        <v>1011</v>
      </c>
      <c r="D430" t="s">
        <v>1018</v>
      </c>
      <c r="E430" s="47">
        <v>117</v>
      </c>
      <c r="F430" s="47">
        <v>762</v>
      </c>
      <c r="G430" s="47">
        <v>89154</v>
      </c>
      <c r="H430" s="47" t="s">
        <v>1030</v>
      </c>
      <c r="I430" s="50" t="s">
        <v>1026</v>
      </c>
      <c r="J430" s="48" t="s">
        <v>1031</v>
      </c>
      <c r="K430" s="47" t="str">
        <f t="shared" si="6"/>
        <v/>
      </c>
    </row>
    <row r="431" spans="1:11" x14ac:dyDescent="0.25">
      <c r="A431" t="s">
        <v>439</v>
      </c>
      <c r="B431" s="48">
        <v>45735</v>
      </c>
      <c r="C431" t="s">
        <v>1012</v>
      </c>
      <c r="D431" t="s">
        <v>1022</v>
      </c>
      <c r="E431" s="47">
        <v>311</v>
      </c>
      <c r="F431" s="47">
        <v>1986</v>
      </c>
      <c r="G431" s="47">
        <v>617646</v>
      </c>
      <c r="H431" s="47" t="s">
        <v>1030</v>
      </c>
      <c r="I431" s="50" t="s">
        <v>1026</v>
      </c>
      <c r="J431" s="48" t="s">
        <v>1031</v>
      </c>
      <c r="K431" s="47" t="str">
        <f t="shared" si="6"/>
        <v/>
      </c>
    </row>
    <row r="432" spans="1:11" x14ac:dyDescent="0.25">
      <c r="A432" t="s">
        <v>440</v>
      </c>
      <c r="B432" s="48">
        <v>46008</v>
      </c>
      <c r="C432" t="s">
        <v>1012</v>
      </c>
      <c r="D432" t="s">
        <v>1016</v>
      </c>
      <c r="E432" s="47">
        <v>385</v>
      </c>
      <c r="F432" s="47">
        <v>99</v>
      </c>
      <c r="G432" s="47">
        <v>38115</v>
      </c>
      <c r="H432" s="47" t="s">
        <v>1030</v>
      </c>
      <c r="I432" s="50" t="s">
        <v>1028</v>
      </c>
      <c r="J432" s="48">
        <v>46022</v>
      </c>
      <c r="K432" s="47">
        <f t="shared" si="6"/>
        <v>14</v>
      </c>
    </row>
    <row r="433" spans="1:11" x14ac:dyDescent="0.25">
      <c r="A433" t="s">
        <v>441</v>
      </c>
      <c r="B433" s="48">
        <v>45706</v>
      </c>
      <c r="C433" t="s">
        <v>1010</v>
      </c>
      <c r="D433" t="s">
        <v>1016</v>
      </c>
      <c r="E433" s="47">
        <v>54</v>
      </c>
      <c r="F433" s="47">
        <v>1005</v>
      </c>
      <c r="G433" s="47">
        <v>54270</v>
      </c>
      <c r="H433" s="47" t="s">
        <v>1030</v>
      </c>
      <c r="I433" s="50" t="s">
        <v>1028</v>
      </c>
      <c r="J433" s="48">
        <v>45721</v>
      </c>
      <c r="K433" s="47">
        <f t="shared" si="6"/>
        <v>15</v>
      </c>
    </row>
    <row r="434" spans="1:11" x14ac:dyDescent="0.25">
      <c r="A434" t="s">
        <v>442</v>
      </c>
      <c r="B434" s="48">
        <v>45838</v>
      </c>
      <c r="C434" t="s">
        <v>1011</v>
      </c>
      <c r="D434" t="s">
        <v>1023</v>
      </c>
      <c r="E434" s="47">
        <v>247</v>
      </c>
      <c r="F434" s="47">
        <v>295</v>
      </c>
      <c r="G434" s="47">
        <v>72865</v>
      </c>
      <c r="H434" s="47" t="s">
        <v>1027</v>
      </c>
      <c r="I434" s="50" t="s">
        <v>1028</v>
      </c>
      <c r="J434" s="48">
        <v>45849</v>
      </c>
      <c r="K434" s="47">
        <f t="shared" si="6"/>
        <v>11</v>
      </c>
    </row>
    <row r="435" spans="1:11" x14ac:dyDescent="0.25">
      <c r="A435" t="s">
        <v>443</v>
      </c>
      <c r="B435" s="48">
        <v>45936</v>
      </c>
      <c r="C435" t="s">
        <v>1013</v>
      </c>
      <c r="D435" t="s">
        <v>1019</v>
      </c>
      <c r="E435" s="47">
        <v>217</v>
      </c>
      <c r="F435" s="47">
        <v>775</v>
      </c>
      <c r="G435" s="47">
        <v>168175</v>
      </c>
      <c r="H435" s="47" t="s">
        <v>1025</v>
      </c>
      <c r="I435" s="50" t="s">
        <v>1029</v>
      </c>
      <c r="J435" s="48" t="s">
        <v>1031</v>
      </c>
      <c r="K435" s="47" t="str">
        <f t="shared" si="6"/>
        <v/>
      </c>
    </row>
    <row r="436" spans="1:11" x14ac:dyDescent="0.25">
      <c r="A436" t="s">
        <v>444</v>
      </c>
      <c r="B436" s="48">
        <v>45800</v>
      </c>
      <c r="C436" t="s">
        <v>1011</v>
      </c>
      <c r="D436" t="s">
        <v>1020</v>
      </c>
      <c r="E436" s="47">
        <v>478</v>
      </c>
      <c r="F436" s="47">
        <v>646</v>
      </c>
      <c r="G436" s="47">
        <v>308788</v>
      </c>
      <c r="H436" s="47" t="s">
        <v>1025</v>
      </c>
      <c r="I436" s="50" t="s">
        <v>1028</v>
      </c>
      <c r="J436" s="48">
        <v>45813</v>
      </c>
      <c r="K436" s="47">
        <f t="shared" si="6"/>
        <v>13</v>
      </c>
    </row>
    <row r="437" spans="1:11" x14ac:dyDescent="0.25">
      <c r="A437" t="s">
        <v>445</v>
      </c>
      <c r="B437" s="48">
        <v>45785</v>
      </c>
      <c r="C437" t="s">
        <v>1014</v>
      </c>
      <c r="D437" t="s">
        <v>1017</v>
      </c>
      <c r="E437" s="47">
        <v>202</v>
      </c>
      <c r="F437" s="47">
        <v>882</v>
      </c>
      <c r="G437" s="47">
        <v>178164</v>
      </c>
      <c r="H437" s="47" t="s">
        <v>1025</v>
      </c>
      <c r="I437" s="50" t="s">
        <v>1026</v>
      </c>
      <c r="J437" s="48" t="s">
        <v>1031</v>
      </c>
      <c r="K437" s="47" t="str">
        <f t="shared" si="6"/>
        <v/>
      </c>
    </row>
    <row r="438" spans="1:11" x14ac:dyDescent="0.25">
      <c r="A438" t="s">
        <v>446</v>
      </c>
      <c r="B438" s="48">
        <v>45986</v>
      </c>
      <c r="C438" t="s">
        <v>1014</v>
      </c>
      <c r="D438" t="s">
        <v>1022</v>
      </c>
      <c r="E438" s="47">
        <v>424</v>
      </c>
      <c r="F438" s="47">
        <v>451</v>
      </c>
      <c r="G438" s="47">
        <v>191224</v>
      </c>
      <c r="H438" s="47" t="s">
        <v>1025</v>
      </c>
      <c r="I438" s="50" t="s">
        <v>1029</v>
      </c>
      <c r="J438" s="48" t="s">
        <v>1031</v>
      </c>
      <c r="K438" s="47" t="str">
        <f t="shared" si="6"/>
        <v/>
      </c>
    </row>
    <row r="439" spans="1:11" x14ac:dyDescent="0.25">
      <c r="A439" t="s">
        <v>447</v>
      </c>
      <c r="B439" s="48">
        <v>45931</v>
      </c>
      <c r="C439" t="s">
        <v>1013</v>
      </c>
      <c r="D439" t="s">
        <v>1016</v>
      </c>
      <c r="E439" s="47">
        <v>407</v>
      </c>
      <c r="F439" s="47">
        <v>1213</v>
      </c>
      <c r="G439" s="47">
        <v>493691</v>
      </c>
      <c r="H439" s="47" t="s">
        <v>1027</v>
      </c>
      <c r="I439" s="50" t="s">
        <v>1028</v>
      </c>
      <c r="J439" s="48">
        <v>45937</v>
      </c>
      <c r="K439" s="47">
        <f t="shared" si="6"/>
        <v>6</v>
      </c>
    </row>
    <row r="440" spans="1:11" x14ac:dyDescent="0.25">
      <c r="A440" t="s">
        <v>448</v>
      </c>
      <c r="B440" s="48">
        <v>45795</v>
      </c>
      <c r="C440" t="s">
        <v>1013</v>
      </c>
      <c r="D440" t="s">
        <v>1020</v>
      </c>
      <c r="E440" s="47">
        <v>182</v>
      </c>
      <c r="F440" s="47">
        <v>916</v>
      </c>
      <c r="G440" s="47">
        <v>166712</v>
      </c>
      <c r="H440" s="47" t="s">
        <v>1030</v>
      </c>
      <c r="I440" s="50" t="s">
        <v>1028</v>
      </c>
      <c r="J440" s="48">
        <v>45800</v>
      </c>
      <c r="K440" s="47">
        <f t="shared" si="6"/>
        <v>5</v>
      </c>
    </row>
    <row r="441" spans="1:11" x14ac:dyDescent="0.25">
      <c r="A441" t="s">
        <v>449</v>
      </c>
      <c r="B441" s="48">
        <v>45717</v>
      </c>
      <c r="C441" t="s">
        <v>1012</v>
      </c>
      <c r="D441" t="s">
        <v>1021</v>
      </c>
      <c r="E441" s="47">
        <v>6</v>
      </c>
      <c r="F441" s="47">
        <v>134</v>
      </c>
      <c r="G441" s="47">
        <v>804</v>
      </c>
      <c r="H441" s="47" t="s">
        <v>1027</v>
      </c>
      <c r="I441" s="50" t="s">
        <v>1029</v>
      </c>
      <c r="J441" s="48" t="s">
        <v>1031</v>
      </c>
      <c r="K441" s="47" t="str">
        <f t="shared" si="6"/>
        <v/>
      </c>
    </row>
    <row r="442" spans="1:11" x14ac:dyDescent="0.25">
      <c r="A442" t="s">
        <v>450</v>
      </c>
      <c r="B442" s="48">
        <v>45719</v>
      </c>
      <c r="C442" t="s">
        <v>1013</v>
      </c>
      <c r="D442" t="s">
        <v>1024</v>
      </c>
      <c r="E442" s="47">
        <v>45</v>
      </c>
      <c r="F442" s="47">
        <v>1187</v>
      </c>
      <c r="G442" s="47">
        <v>53415</v>
      </c>
      <c r="H442" s="47" t="s">
        <v>1025</v>
      </c>
      <c r="I442" s="50" t="s">
        <v>1029</v>
      </c>
      <c r="J442" s="48" t="s">
        <v>1031</v>
      </c>
      <c r="K442" s="47" t="str">
        <f t="shared" si="6"/>
        <v/>
      </c>
    </row>
    <row r="443" spans="1:11" x14ac:dyDescent="0.25">
      <c r="A443" t="s">
        <v>451</v>
      </c>
      <c r="B443" s="48">
        <v>45756</v>
      </c>
      <c r="C443" t="s">
        <v>1010</v>
      </c>
      <c r="D443" t="s">
        <v>1019</v>
      </c>
      <c r="E443" s="47">
        <v>232</v>
      </c>
      <c r="F443" s="47">
        <v>1761</v>
      </c>
      <c r="G443" s="47">
        <v>408552</v>
      </c>
      <c r="H443" s="47" t="s">
        <v>1025</v>
      </c>
      <c r="I443" s="50" t="s">
        <v>1026</v>
      </c>
      <c r="J443" s="48" t="s">
        <v>1031</v>
      </c>
      <c r="K443" s="47" t="str">
        <f t="shared" si="6"/>
        <v/>
      </c>
    </row>
    <row r="444" spans="1:11" x14ac:dyDescent="0.25">
      <c r="A444" t="s">
        <v>452</v>
      </c>
      <c r="B444" s="48">
        <v>45848</v>
      </c>
      <c r="C444" t="s">
        <v>1014</v>
      </c>
      <c r="D444" t="s">
        <v>1018</v>
      </c>
      <c r="E444" s="47">
        <v>336</v>
      </c>
      <c r="F444" s="47">
        <v>1596</v>
      </c>
      <c r="G444" s="47">
        <v>536256</v>
      </c>
      <c r="H444" s="47" t="s">
        <v>1030</v>
      </c>
      <c r="I444" s="50" t="s">
        <v>1029</v>
      </c>
      <c r="J444" s="48" t="s">
        <v>1031</v>
      </c>
      <c r="K444" s="47" t="str">
        <f t="shared" si="6"/>
        <v/>
      </c>
    </row>
    <row r="445" spans="1:11" x14ac:dyDescent="0.25">
      <c r="A445" t="s">
        <v>453</v>
      </c>
      <c r="B445" s="48">
        <v>45987</v>
      </c>
      <c r="C445" t="s">
        <v>1011</v>
      </c>
      <c r="D445" t="s">
        <v>1021</v>
      </c>
      <c r="E445" s="47">
        <v>127</v>
      </c>
      <c r="F445" s="47">
        <v>1704</v>
      </c>
      <c r="G445" s="47">
        <v>216408</v>
      </c>
      <c r="H445" s="47" t="s">
        <v>1027</v>
      </c>
      <c r="I445" s="50" t="s">
        <v>1026</v>
      </c>
      <c r="J445" s="48" t="s">
        <v>1031</v>
      </c>
      <c r="K445" s="47" t="str">
        <f t="shared" si="6"/>
        <v/>
      </c>
    </row>
    <row r="446" spans="1:11" x14ac:dyDescent="0.25">
      <c r="A446" t="s">
        <v>454</v>
      </c>
      <c r="B446" s="48">
        <v>46025</v>
      </c>
      <c r="C446" t="s">
        <v>1012</v>
      </c>
      <c r="D446" t="s">
        <v>1020</v>
      </c>
      <c r="E446" s="47">
        <v>249</v>
      </c>
      <c r="F446" s="47">
        <v>325</v>
      </c>
      <c r="G446" s="47">
        <v>80925</v>
      </c>
      <c r="H446" s="47" t="s">
        <v>1030</v>
      </c>
      <c r="I446" s="50" t="s">
        <v>1028</v>
      </c>
      <c r="J446" s="48">
        <v>46032</v>
      </c>
      <c r="K446" s="47">
        <f t="shared" si="6"/>
        <v>7</v>
      </c>
    </row>
    <row r="447" spans="1:11" x14ac:dyDescent="0.25">
      <c r="A447" t="s">
        <v>455</v>
      </c>
      <c r="B447" s="48">
        <v>45796</v>
      </c>
      <c r="C447" t="s">
        <v>1014</v>
      </c>
      <c r="D447" t="s">
        <v>1016</v>
      </c>
      <c r="E447" s="47">
        <v>96</v>
      </c>
      <c r="F447" s="47">
        <v>562</v>
      </c>
      <c r="G447" s="47">
        <v>53952</v>
      </c>
      <c r="H447" s="47" t="s">
        <v>1027</v>
      </c>
      <c r="I447" s="50" t="s">
        <v>1026</v>
      </c>
      <c r="J447" s="48" t="s">
        <v>1031</v>
      </c>
      <c r="K447" s="47" t="str">
        <f t="shared" si="6"/>
        <v/>
      </c>
    </row>
    <row r="448" spans="1:11" x14ac:dyDescent="0.25">
      <c r="A448" t="s">
        <v>456</v>
      </c>
      <c r="B448" s="48">
        <v>45750</v>
      </c>
      <c r="C448" t="s">
        <v>1013</v>
      </c>
      <c r="D448" t="s">
        <v>1023</v>
      </c>
      <c r="E448" s="47">
        <v>219</v>
      </c>
      <c r="F448" s="47">
        <v>376</v>
      </c>
      <c r="G448" s="47">
        <v>82344</v>
      </c>
      <c r="H448" s="47" t="s">
        <v>1027</v>
      </c>
      <c r="I448" s="50" t="s">
        <v>1026</v>
      </c>
      <c r="J448" s="48" t="s">
        <v>1031</v>
      </c>
      <c r="K448" s="47" t="str">
        <f t="shared" si="6"/>
        <v/>
      </c>
    </row>
    <row r="449" spans="1:11" x14ac:dyDescent="0.25">
      <c r="A449" t="s">
        <v>457</v>
      </c>
      <c r="B449" s="48">
        <v>45699</v>
      </c>
      <c r="C449" t="s">
        <v>1012</v>
      </c>
      <c r="D449" t="s">
        <v>1017</v>
      </c>
      <c r="E449" s="47">
        <v>277</v>
      </c>
      <c r="F449" s="47">
        <v>1283</v>
      </c>
      <c r="G449" s="47">
        <v>355391</v>
      </c>
      <c r="H449" s="47" t="s">
        <v>1030</v>
      </c>
      <c r="I449" s="50" t="s">
        <v>1026</v>
      </c>
      <c r="J449" s="48" t="s">
        <v>1031</v>
      </c>
      <c r="K449" s="47" t="str">
        <f t="shared" si="6"/>
        <v/>
      </c>
    </row>
    <row r="450" spans="1:11" x14ac:dyDescent="0.25">
      <c r="A450" t="s">
        <v>458</v>
      </c>
      <c r="B450" s="48">
        <v>45813</v>
      </c>
      <c r="C450" t="s">
        <v>1011</v>
      </c>
      <c r="D450" t="s">
        <v>1023</v>
      </c>
      <c r="E450" s="47">
        <v>318</v>
      </c>
      <c r="F450" s="47">
        <v>90</v>
      </c>
      <c r="G450" s="47">
        <v>28620</v>
      </c>
      <c r="H450" s="47" t="s">
        <v>1025</v>
      </c>
      <c r="I450" s="50" t="s">
        <v>1028</v>
      </c>
      <c r="J450" s="48">
        <v>45822</v>
      </c>
      <c r="K450" s="47">
        <f t="shared" ref="K450:K513" si="7">IF(J450="", "", J450-B450)</f>
        <v>9</v>
      </c>
    </row>
    <row r="451" spans="1:11" x14ac:dyDescent="0.25">
      <c r="A451" t="s">
        <v>459</v>
      </c>
      <c r="B451" s="48">
        <v>45855</v>
      </c>
      <c r="C451" t="s">
        <v>1012</v>
      </c>
      <c r="D451" t="s">
        <v>1016</v>
      </c>
      <c r="E451" s="47">
        <v>310</v>
      </c>
      <c r="F451" s="47">
        <v>1929</v>
      </c>
      <c r="G451" s="47">
        <v>597990</v>
      </c>
      <c r="H451" s="47" t="s">
        <v>1025</v>
      </c>
      <c r="I451" s="50" t="s">
        <v>1029</v>
      </c>
      <c r="J451" s="48" t="s">
        <v>1031</v>
      </c>
      <c r="K451" s="47" t="str">
        <f t="shared" si="7"/>
        <v/>
      </c>
    </row>
    <row r="452" spans="1:11" x14ac:dyDescent="0.25">
      <c r="A452" t="s">
        <v>460</v>
      </c>
      <c r="B452" s="48">
        <v>45927</v>
      </c>
      <c r="C452" t="s">
        <v>1012</v>
      </c>
      <c r="D452" t="s">
        <v>1016</v>
      </c>
      <c r="E452" s="47">
        <v>131</v>
      </c>
      <c r="F452" s="47">
        <v>42</v>
      </c>
      <c r="G452" s="47">
        <v>5502</v>
      </c>
      <c r="H452" s="47" t="s">
        <v>1030</v>
      </c>
      <c r="I452" s="50" t="s">
        <v>1028</v>
      </c>
      <c r="J452" s="48">
        <v>45942</v>
      </c>
      <c r="K452" s="47">
        <f t="shared" si="7"/>
        <v>15</v>
      </c>
    </row>
    <row r="453" spans="1:11" x14ac:dyDescent="0.25">
      <c r="A453" t="s">
        <v>461</v>
      </c>
      <c r="B453" s="48">
        <v>45865</v>
      </c>
      <c r="C453" t="s">
        <v>1010</v>
      </c>
      <c r="D453" t="s">
        <v>1023</v>
      </c>
      <c r="E453" s="47">
        <v>29</v>
      </c>
      <c r="F453" s="47">
        <v>897</v>
      </c>
      <c r="G453" s="47">
        <v>26013</v>
      </c>
      <c r="H453" s="47" t="s">
        <v>1027</v>
      </c>
      <c r="I453" s="50" t="s">
        <v>1026</v>
      </c>
      <c r="J453" s="48" t="s">
        <v>1031</v>
      </c>
      <c r="K453" s="47" t="str">
        <f t="shared" si="7"/>
        <v/>
      </c>
    </row>
    <row r="454" spans="1:11" x14ac:dyDescent="0.25">
      <c r="A454" t="s">
        <v>462</v>
      </c>
      <c r="B454" s="48">
        <v>45915</v>
      </c>
      <c r="C454" t="s">
        <v>1011</v>
      </c>
      <c r="D454" t="s">
        <v>1015</v>
      </c>
      <c r="E454" s="47">
        <v>131</v>
      </c>
      <c r="F454" s="47">
        <v>1767</v>
      </c>
      <c r="G454" s="47">
        <v>231477</v>
      </c>
      <c r="H454" s="47" t="s">
        <v>1027</v>
      </c>
      <c r="I454" s="50" t="s">
        <v>1026</v>
      </c>
      <c r="J454" s="48" t="s">
        <v>1031</v>
      </c>
      <c r="K454" s="47" t="str">
        <f t="shared" si="7"/>
        <v/>
      </c>
    </row>
    <row r="455" spans="1:11" x14ac:dyDescent="0.25">
      <c r="A455" t="s">
        <v>463</v>
      </c>
      <c r="B455" s="48">
        <v>46040</v>
      </c>
      <c r="C455" t="s">
        <v>1012</v>
      </c>
      <c r="D455" t="s">
        <v>1016</v>
      </c>
      <c r="E455" s="47">
        <v>301</v>
      </c>
      <c r="F455" s="47">
        <v>843</v>
      </c>
      <c r="G455" s="47">
        <v>253743</v>
      </c>
      <c r="H455" s="47" t="s">
        <v>1027</v>
      </c>
      <c r="I455" s="50" t="s">
        <v>1028</v>
      </c>
      <c r="J455" s="48">
        <v>46051</v>
      </c>
      <c r="K455" s="47">
        <f t="shared" si="7"/>
        <v>11</v>
      </c>
    </row>
    <row r="456" spans="1:11" x14ac:dyDescent="0.25">
      <c r="A456" t="s">
        <v>464</v>
      </c>
      <c r="B456" s="48">
        <v>45727</v>
      </c>
      <c r="C456" t="s">
        <v>1010</v>
      </c>
      <c r="D456" t="s">
        <v>1023</v>
      </c>
      <c r="E456" s="47">
        <v>460</v>
      </c>
      <c r="F456" s="47">
        <v>576</v>
      </c>
      <c r="G456" s="47">
        <v>264960</v>
      </c>
      <c r="H456" s="47" t="s">
        <v>1030</v>
      </c>
      <c r="I456" s="50" t="s">
        <v>1026</v>
      </c>
      <c r="J456" s="48" t="s">
        <v>1031</v>
      </c>
      <c r="K456" s="47" t="str">
        <f t="shared" si="7"/>
        <v/>
      </c>
    </row>
    <row r="457" spans="1:11" x14ac:dyDescent="0.25">
      <c r="A457" t="s">
        <v>465</v>
      </c>
      <c r="B457" s="48">
        <v>45948</v>
      </c>
      <c r="C457" t="s">
        <v>1013</v>
      </c>
      <c r="D457" t="s">
        <v>1017</v>
      </c>
      <c r="E457" s="47">
        <v>299</v>
      </c>
      <c r="F457" s="47">
        <v>433</v>
      </c>
      <c r="G457" s="47">
        <v>129467</v>
      </c>
      <c r="H457" s="47" t="s">
        <v>1030</v>
      </c>
      <c r="I457" s="50" t="s">
        <v>1026</v>
      </c>
      <c r="J457" s="48" t="s">
        <v>1031</v>
      </c>
      <c r="K457" s="47" t="str">
        <f t="shared" si="7"/>
        <v/>
      </c>
    </row>
    <row r="458" spans="1:11" x14ac:dyDescent="0.25">
      <c r="A458" t="s">
        <v>466</v>
      </c>
      <c r="B458" s="48">
        <v>45995</v>
      </c>
      <c r="C458" t="s">
        <v>1012</v>
      </c>
      <c r="D458" t="s">
        <v>1024</v>
      </c>
      <c r="E458" s="47">
        <v>309</v>
      </c>
      <c r="F458" s="47">
        <v>400</v>
      </c>
      <c r="G458" s="47">
        <v>123600</v>
      </c>
      <c r="H458" s="47" t="s">
        <v>1030</v>
      </c>
      <c r="I458" s="50" t="s">
        <v>1028</v>
      </c>
      <c r="J458" s="48">
        <v>46000</v>
      </c>
      <c r="K458" s="47">
        <f t="shared" si="7"/>
        <v>5</v>
      </c>
    </row>
    <row r="459" spans="1:11" x14ac:dyDescent="0.25">
      <c r="A459" t="s">
        <v>467</v>
      </c>
      <c r="B459" s="48">
        <v>46023</v>
      </c>
      <c r="C459" t="s">
        <v>1012</v>
      </c>
      <c r="D459" t="s">
        <v>1022</v>
      </c>
      <c r="E459" s="47">
        <v>400</v>
      </c>
      <c r="F459" s="47">
        <v>1454</v>
      </c>
      <c r="G459" s="47">
        <v>581600</v>
      </c>
      <c r="H459" s="47" t="s">
        <v>1027</v>
      </c>
      <c r="I459" s="50" t="s">
        <v>1029</v>
      </c>
      <c r="J459" s="48" t="s">
        <v>1031</v>
      </c>
      <c r="K459" s="47" t="str">
        <f t="shared" si="7"/>
        <v/>
      </c>
    </row>
    <row r="460" spans="1:11" x14ac:dyDescent="0.25">
      <c r="A460" t="s">
        <v>468</v>
      </c>
      <c r="B460" s="48">
        <v>45710</v>
      </c>
      <c r="C460" t="s">
        <v>1012</v>
      </c>
      <c r="D460" t="s">
        <v>1018</v>
      </c>
      <c r="E460" s="47">
        <v>124</v>
      </c>
      <c r="F460" s="47">
        <v>90</v>
      </c>
      <c r="G460" s="47">
        <v>11160</v>
      </c>
      <c r="H460" s="47" t="s">
        <v>1027</v>
      </c>
      <c r="I460" s="50" t="s">
        <v>1028</v>
      </c>
      <c r="J460" s="48">
        <v>45718</v>
      </c>
      <c r="K460" s="47">
        <f t="shared" si="7"/>
        <v>8</v>
      </c>
    </row>
    <row r="461" spans="1:11" x14ac:dyDescent="0.25">
      <c r="A461" t="s">
        <v>469</v>
      </c>
      <c r="B461" s="48">
        <v>45888</v>
      </c>
      <c r="C461" t="s">
        <v>1010</v>
      </c>
      <c r="D461" t="s">
        <v>1023</v>
      </c>
      <c r="E461" s="47">
        <v>110</v>
      </c>
      <c r="F461" s="47">
        <v>1038</v>
      </c>
      <c r="G461" s="47">
        <v>114180</v>
      </c>
      <c r="H461" s="47" t="s">
        <v>1025</v>
      </c>
      <c r="I461" s="50" t="s">
        <v>1029</v>
      </c>
      <c r="J461" s="48" t="s">
        <v>1031</v>
      </c>
      <c r="K461" s="47" t="str">
        <f t="shared" si="7"/>
        <v/>
      </c>
    </row>
    <row r="462" spans="1:11" x14ac:dyDescent="0.25">
      <c r="A462" t="s">
        <v>470</v>
      </c>
      <c r="B462" s="48">
        <v>45840</v>
      </c>
      <c r="C462" t="s">
        <v>1010</v>
      </c>
      <c r="D462" t="s">
        <v>1016</v>
      </c>
      <c r="E462" s="47">
        <v>324</v>
      </c>
      <c r="F462" s="47">
        <v>125</v>
      </c>
      <c r="G462" s="47">
        <v>40500</v>
      </c>
      <c r="H462" s="47" t="s">
        <v>1030</v>
      </c>
      <c r="I462" s="50" t="s">
        <v>1026</v>
      </c>
      <c r="J462" s="48" t="s">
        <v>1031</v>
      </c>
      <c r="K462" s="47" t="str">
        <f t="shared" si="7"/>
        <v/>
      </c>
    </row>
    <row r="463" spans="1:11" x14ac:dyDescent="0.25">
      <c r="A463" t="s">
        <v>471</v>
      </c>
      <c r="B463" s="48">
        <v>45805</v>
      </c>
      <c r="C463" t="s">
        <v>1014</v>
      </c>
      <c r="D463" t="s">
        <v>1024</v>
      </c>
      <c r="E463" s="47">
        <v>332</v>
      </c>
      <c r="F463" s="47">
        <v>981</v>
      </c>
      <c r="G463" s="47">
        <v>325692</v>
      </c>
      <c r="H463" s="47" t="s">
        <v>1025</v>
      </c>
      <c r="I463" s="50" t="s">
        <v>1026</v>
      </c>
      <c r="J463" s="48" t="s">
        <v>1031</v>
      </c>
      <c r="K463" s="47" t="str">
        <f t="shared" si="7"/>
        <v/>
      </c>
    </row>
    <row r="464" spans="1:11" x14ac:dyDescent="0.25">
      <c r="A464" t="s">
        <v>472</v>
      </c>
      <c r="B464" s="48">
        <v>45999</v>
      </c>
      <c r="C464" t="s">
        <v>1011</v>
      </c>
      <c r="D464" t="s">
        <v>1021</v>
      </c>
      <c r="E464" s="47">
        <v>74</v>
      </c>
      <c r="F464" s="47">
        <v>697</v>
      </c>
      <c r="G464" s="47">
        <v>51578</v>
      </c>
      <c r="H464" s="47" t="s">
        <v>1030</v>
      </c>
      <c r="I464" s="50" t="s">
        <v>1028</v>
      </c>
      <c r="J464" s="48">
        <v>46005</v>
      </c>
      <c r="K464" s="47">
        <f t="shared" si="7"/>
        <v>6</v>
      </c>
    </row>
    <row r="465" spans="1:11" x14ac:dyDescent="0.25">
      <c r="A465" t="s">
        <v>473</v>
      </c>
      <c r="B465" s="48">
        <v>45856</v>
      </c>
      <c r="C465" t="s">
        <v>1013</v>
      </c>
      <c r="D465" t="s">
        <v>1020</v>
      </c>
      <c r="E465" s="47">
        <v>219</v>
      </c>
      <c r="F465" s="47">
        <v>1979</v>
      </c>
      <c r="G465" s="47">
        <v>433401</v>
      </c>
      <c r="H465" s="47" t="s">
        <v>1025</v>
      </c>
      <c r="I465" s="50" t="s">
        <v>1028</v>
      </c>
      <c r="J465" s="48">
        <v>45870</v>
      </c>
      <c r="K465" s="47">
        <f t="shared" si="7"/>
        <v>14</v>
      </c>
    </row>
    <row r="466" spans="1:11" x14ac:dyDescent="0.25">
      <c r="A466" t="s">
        <v>474</v>
      </c>
      <c r="B466" s="48">
        <v>45853</v>
      </c>
      <c r="C466" t="s">
        <v>1012</v>
      </c>
      <c r="D466" t="s">
        <v>1020</v>
      </c>
      <c r="E466" s="47">
        <v>210</v>
      </c>
      <c r="F466" s="47">
        <v>1141</v>
      </c>
      <c r="G466" s="47">
        <v>239610</v>
      </c>
      <c r="H466" s="47" t="s">
        <v>1030</v>
      </c>
      <c r="I466" s="50" t="s">
        <v>1026</v>
      </c>
      <c r="J466" s="48" t="s">
        <v>1031</v>
      </c>
      <c r="K466" s="47" t="str">
        <f t="shared" si="7"/>
        <v/>
      </c>
    </row>
    <row r="467" spans="1:11" x14ac:dyDescent="0.25">
      <c r="A467" t="s">
        <v>475</v>
      </c>
      <c r="B467" s="48">
        <v>45799</v>
      </c>
      <c r="C467" t="s">
        <v>1013</v>
      </c>
      <c r="D467" t="s">
        <v>1017</v>
      </c>
      <c r="E467" s="47">
        <v>20</v>
      </c>
      <c r="F467" s="47">
        <v>195</v>
      </c>
      <c r="G467" s="47">
        <v>3900</v>
      </c>
      <c r="H467" s="47" t="s">
        <v>1027</v>
      </c>
      <c r="I467" s="50" t="s">
        <v>1026</v>
      </c>
      <c r="J467" s="48" t="s">
        <v>1031</v>
      </c>
      <c r="K467" s="47" t="str">
        <f t="shared" si="7"/>
        <v/>
      </c>
    </row>
    <row r="468" spans="1:11" x14ac:dyDescent="0.25">
      <c r="A468" t="s">
        <v>476</v>
      </c>
      <c r="B468" s="48">
        <v>45783</v>
      </c>
      <c r="C468" t="s">
        <v>1010</v>
      </c>
      <c r="D468" t="s">
        <v>1020</v>
      </c>
      <c r="E468" s="47">
        <v>311</v>
      </c>
      <c r="F468" s="47">
        <v>59</v>
      </c>
      <c r="G468" s="47">
        <v>18349</v>
      </c>
      <c r="H468" s="47" t="s">
        <v>1030</v>
      </c>
      <c r="I468" s="50" t="s">
        <v>1028</v>
      </c>
      <c r="J468" s="48">
        <v>45788</v>
      </c>
      <c r="K468" s="47">
        <f t="shared" si="7"/>
        <v>5</v>
      </c>
    </row>
    <row r="469" spans="1:11" x14ac:dyDescent="0.25">
      <c r="A469" t="s">
        <v>477</v>
      </c>
      <c r="B469" s="48">
        <v>46031</v>
      </c>
      <c r="C469" t="s">
        <v>1013</v>
      </c>
      <c r="D469" t="s">
        <v>1024</v>
      </c>
      <c r="E469" s="47">
        <v>254</v>
      </c>
      <c r="F469" s="47">
        <v>757</v>
      </c>
      <c r="G469" s="47">
        <v>192278</v>
      </c>
      <c r="H469" s="47" t="s">
        <v>1030</v>
      </c>
      <c r="I469" s="50" t="s">
        <v>1028</v>
      </c>
      <c r="J469" s="48">
        <v>46042</v>
      </c>
      <c r="K469" s="47">
        <f t="shared" si="7"/>
        <v>11</v>
      </c>
    </row>
    <row r="470" spans="1:11" x14ac:dyDescent="0.25">
      <c r="A470" t="s">
        <v>478</v>
      </c>
      <c r="B470" s="48">
        <v>45887</v>
      </c>
      <c r="C470" t="s">
        <v>1014</v>
      </c>
      <c r="D470" t="s">
        <v>1020</v>
      </c>
      <c r="E470" s="47">
        <v>426</v>
      </c>
      <c r="F470" s="47">
        <v>561</v>
      </c>
      <c r="G470" s="47">
        <v>238986</v>
      </c>
      <c r="H470" s="47" t="s">
        <v>1025</v>
      </c>
      <c r="I470" s="50" t="s">
        <v>1029</v>
      </c>
      <c r="J470" s="48" t="s">
        <v>1031</v>
      </c>
      <c r="K470" s="47" t="str">
        <f t="shared" si="7"/>
        <v/>
      </c>
    </row>
    <row r="471" spans="1:11" x14ac:dyDescent="0.25">
      <c r="A471" t="s">
        <v>479</v>
      </c>
      <c r="B471" s="48">
        <v>45690</v>
      </c>
      <c r="C471" t="s">
        <v>1013</v>
      </c>
      <c r="D471" t="s">
        <v>1016</v>
      </c>
      <c r="E471" s="47">
        <v>179</v>
      </c>
      <c r="F471" s="47">
        <v>379</v>
      </c>
      <c r="G471" s="47">
        <v>67841</v>
      </c>
      <c r="H471" s="47" t="s">
        <v>1027</v>
      </c>
      <c r="I471" s="50" t="s">
        <v>1029</v>
      </c>
      <c r="J471" s="48" t="s">
        <v>1031</v>
      </c>
      <c r="K471" s="47" t="str">
        <f t="shared" si="7"/>
        <v/>
      </c>
    </row>
    <row r="472" spans="1:11" x14ac:dyDescent="0.25">
      <c r="A472" t="s">
        <v>480</v>
      </c>
      <c r="B472" s="48">
        <v>45990</v>
      </c>
      <c r="C472" t="s">
        <v>1011</v>
      </c>
      <c r="D472" t="s">
        <v>1015</v>
      </c>
      <c r="E472" s="47">
        <v>2</v>
      </c>
      <c r="F472" s="47">
        <v>501</v>
      </c>
      <c r="G472" s="47">
        <v>1002</v>
      </c>
      <c r="H472" s="47" t="s">
        <v>1030</v>
      </c>
      <c r="I472" s="50" t="s">
        <v>1028</v>
      </c>
      <c r="J472" s="48">
        <v>46002</v>
      </c>
      <c r="K472" s="47">
        <f t="shared" si="7"/>
        <v>12</v>
      </c>
    </row>
    <row r="473" spans="1:11" x14ac:dyDescent="0.25">
      <c r="A473" t="s">
        <v>481</v>
      </c>
      <c r="B473" s="48">
        <v>45930</v>
      </c>
      <c r="C473" t="s">
        <v>1010</v>
      </c>
      <c r="D473" t="s">
        <v>1019</v>
      </c>
      <c r="E473" s="47">
        <v>417</v>
      </c>
      <c r="F473" s="47">
        <v>1163</v>
      </c>
      <c r="G473" s="47">
        <v>484971</v>
      </c>
      <c r="H473" s="47" t="s">
        <v>1027</v>
      </c>
      <c r="I473" s="50" t="s">
        <v>1026</v>
      </c>
      <c r="J473" s="48" t="s">
        <v>1031</v>
      </c>
      <c r="K473" s="47" t="str">
        <f t="shared" si="7"/>
        <v/>
      </c>
    </row>
    <row r="474" spans="1:11" x14ac:dyDescent="0.25">
      <c r="A474" t="s">
        <v>482</v>
      </c>
      <c r="B474" s="48">
        <v>45862</v>
      </c>
      <c r="C474" t="s">
        <v>1010</v>
      </c>
      <c r="D474" t="s">
        <v>1017</v>
      </c>
      <c r="E474" s="47">
        <v>140</v>
      </c>
      <c r="F474" s="47">
        <v>150</v>
      </c>
      <c r="G474" s="47">
        <v>21000</v>
      </c>
      <c r="H474" s="47" t="s">
        <v>1030</v>
      </c>
      <c r="I474" s="50" t="s">
        <v>1028</v>
      </c>
      <c r="J474" s="48">
        <v>45867</v>
      </c>
      <c r="K474" s="47">
        <f t="shared" si="7"/>
        <v>5</v>
      </c>
    </row>
    <row r="475" spans="1:11" x14ac:dyDescent="0.25">
      <c r="A475" t="s">
        <v>483</v>
      </c>
      <c r="B475" s="48">
        <v>46039</v>
      </c>
      <c r="C475" t="s">
        <v>1011</v>
      </c>
      <c r="D475" t="s">
        <v>1020</v>
      </c>
      <c r="E475" s="47">
        <v>403</v>
      </c>
      <c r="F475" s="47">
        <v>1038</v>
      </c>
      <c r="G475" s="47">
        <v>418314</v>
      </c>
      <c r="H475" s="47" t="s">
        <v>1027</v>
      </c>
      <c r="I475" s="50" t="s">
        <v>1029</v>
      </c>
      <c r="J475" s="48" t="s">
        <v>1031</v>
      </c>
      <c r="K475" s="47" t="str">
        <f t="shared" si="7"/>
        <v/>
      </c>
    </row>
    <row r="476" spans="1:11" x14ac:dyDescent="0.25">
      <c r="A476" t="s">
        <v>484</v>
      </c>
      <c r="B476" s="48">
        <v>45741</v>
      </c>
      <c r="C476" t="s">
        <v>1011</v>
      </c>
      <c r="D476" t="s">
        <v>1023</v>
      </c>
      <c r="E476" s="47">
        <v>459</v>
      </c>
      <c r="F476" s="47">
        <v>1581</v>
      </c>
      <c r="G476" s="47">
        <v>725679</v>
      </c>
      <c r="H476" s="47" t="s">
        <v>1025</v>
      </c>
      <c r="I476" s="50" t="s">
        <v>1028</v>
      </c>
      <c r="J476" s="48">
        <v>45747</v>
      </c>
      <c r="K476" s="47">
        <f t="shared" si="7"/>
        <v>6</v>
      </c>
    </row>
    <row r="477" spans="1:11" x14ac:dyDescent="0.25">
      <c r="A477" t="s">
        <v>485</v>
      </c>
      <c r="B477" s="48">
        <v>45687</v>
      </c>
      <c r="C477" t="s">
        <v>1011</v>
      </c>
      <c r="D477" t="s">
        <v>1022</v>
      </c>
      <c r="E477" s="47">
        <v>161</v>
      </c>
      <c r="F477" s="47">
        <v>1612</v>
      </c>
      <c r="G477" s="47">
        <v>259532</v>
      </c>
      <c r="H477" s="47" t="s">
        <v>1030</v>
      </c>
      <c r="I477" s="50" t="s">
        <v>1028</v>
      </c>
      <c r="J477" s="48">
        <v>45702</v>
      </c>
      <c r="K477" s="47">
        <f t="shared" si="7"/>
        <v>15</v>
      </c>
    </row>
    <row r="478" spans="1:11" x14ac:dyDescent="0.25">
      <c r="A478" t="s">
        <v>486</v>
      </c>
      <c r="B478" s="48">
        <v>45766</v>
      </c>
      <c r="C478" t="s">
        <v>1013</v>
      </c>
      <c r="D478" t="s">
        <v>1021</v>
      </c>
      <c r="E478" s="47">
        <v>11</v>
      </c>
      <c r="F478" s="47">
        <v>1409</v>
      </c>
      <c r="G478" s="47">
        <v>15499</v>
      </c>
      <c r="H478" s="47" t="s">
        <v>1025</v>
      </c>
      <c r="I478" s="50" t="s">
        <v>1029</v>
      </c>
      <c r="J478" s="48" t="s">
        <v>1031</v>
      </c>
      <c r="K478" s="47" t="str">
        <f t="shared" si="7"/>
        <v/>
      </c>
    </row>
    <row r="479" spans="1:11" x14ac:dyDescent="0.25">
      <c r="A479" t="s">
        <v>487</v>
      </c>
      <c r="B479" s="48">
        <v>45913</v>
      </c>
      <c r="C479" t="s">
        <v>1013</v>
      </c>
      <c r="D479" t="s">
        <v>1020</v>
      </c>
      <c r="E479" s="47">
        <v>54</v>
      </c>
      <c r="F479" s="47">
        <v>1557</v>
      </c>
      <c r="G479" s="47">
        <v>84078</v>
      </c>
      <c r="H479" s="47" t="s">
        <v>1025</v>
      </c>
      <c r="I479" s="50" t="s">
        <v>1028</v>
      </c>
      <c r="J479" s="48">
        <v>45922</v>
      </c>
      <c r="K479" s="47">
        <f t="shared" si="7"/>
        <v>9</v>
      </c>
    </row>
    <row r="480" spans="1:11" x14ac:dyDescent="0.25">
      <c r="A480" t="s">
        <v>488</v>
      </c>
      <c r="B480" s="48">
        <v>45854</v>
      </c>
      <c r="C480" t="s">
        <v>1012</v>
      </c>
      <c r="D480" t="s">
        <v>1022</v>
      </c>
      <c r="E480" s="47">
        <v>207</v>
      </c>
      <c r="F480" s="47">
        <v>1544</v>
      </c>
      <c r="G480" s="47">
        <v>319608</v>
      </c>
      <c r="H480" s="47" t="s">
        <v>1025</v>
      </c>
      <c r="I480" s="50" t="s">
        <v>1026</v>
      </c>
      <c r="J480" s="48" t="s">
        <v>1031</v>
      </c>
      <c r="K480" s="47" t="str">
        <f t="shared" si="7"/>
        <v/>
      </c>
    </row>
    <row r="481" spans="1:11" x14ac:dyDescent="0.25">
      <c r="A481" t="s">
        <v>489</v>
      </c>
      <c r="B481" s="48">
        <v>45699</v>
      </c>
      <c r="C481" t="s">
        <v>1013</v>
      </c>
      <c r="D481" t="s">
        <v>1015</v>
      </c>
      <c r="E481" s="47">
        <v>386</v>
      </c>
      <c r="F481" s="47">
        <v>1470</v>
      </c>
      <c r="G481" s="47">
        <v>567420</v>
      </c>
      <c r="H481" s="47" t="s">
        <v>1025</v>
      </c>
      <c r="I481" s="50" t="s">
        <v>1028</v>
      </c>
      <c r="J481" s="48">
        <v>45714</v>
      </c>
      <c r="K481" s="47">
        <f t="shared" si="7"/>
        <v>15</v>
      </c>
    </row>
    <row r="482" spans="1:11" x14ac:dyDescent="0.25">
      <c r="A482" t="s">
        <v>490</v>
      </c>
      <c r="B482" s="48">
        <v>45882</v>
      </c>
      <c r="C482" t="s">
        <v>1011</v>
      </c>
      <c r="D482" t="s">
        <v>1019</v>
      </c>
      <c r="E482" s="47">
        <v>80</v>
      </c>
      <c r="F482" s="47">
        <v>963</v>
      </c>
      <c r="G482" s="47">
        <v>77040</v>
      </c>
      <c r="H482" s="47" t="s">
        <v>1030</v>
      </c>
      <c r="I482" s="50" t="s">
        <v>1026</v>
      </c>
      <c r="J482" s="48" t="s">
        <v>1031</v>
      </c>
      <c r="K482" s="47" t="str">
        <f t="shared" si="7"/>
        <v/>
      </c>
    </row>
    <row r="483" spans="1:11" x14ac:dyDescent="0.25">
      <c r="A483" t="s">
        <v>491</v>
      </c>
      <c r="B483" s="48">
        <v>46018</v>
      </c>
      <c r="C483" t="s">
        <v>1011</v>
      </c>
      <c r="D483" t="s">
        <v>1020</v>
      </c>
      <c r="E483" s="47">
        <v>4</v>
      </c>
      <c r="F483" s="47">
        <v>481</v>
      </c>
      <c r="G483" s="47">
        <v>1924</v>
      </c>
      <c r="H483" s="47" t="s">
        <v>1025</v>
      </c>
      <c r="I483" s="50" t="s">
        <v>1029</v>
      </c>
      <c r="J483" s="48" t="s">
        <v>1031</v>
      </c>
      <c r="K483" s="47" t="str">
        <f t="shared" si="7"/>
        <v/>
      </c>
    </row>
    <row r="484" spans="1:11" x14ac:dyDescent="0.25">
      <c r="A484" t="s">
        <v>492</v>
      </c>
      <c r="B484" s="48">
        <v>45673</v>
      </c>
      <c r="C484" t="s">
        <v>1014</v>
      </c>
      <c r="D484" t="s">
        <v>1020</v>
      </c>
      <c r="E484" s="47">
        <v>96</v>
      </c>
      <c r="F484" s="47">
        <v>218</v>
      </c>
      <c r="G484" s="47">
        <v>20928</v>
      </c>
      <c r="H484" s="47" t="s">
        <v>1027</v>
      </c>
      <c r="I484" s="50" t="s">
        <v>1028</v>
      </c>
      <c r="J484" s="48">
        <v>45686</v>
      </c>
      <c r="K484" s="47">
        <f t="shared" si="7"/>
        <v>13</v>
      </c>
    </row>
    <row r="485" spans="1:11" x14ac:dyDescent="0.25">
      <c r="A485" t="s">
        <v>493</v>
      </c>
      <c r="B485" s="48">
        <v>45951</v>
      </c>
      <c r="C485" t="s">
        <v>1011</v>
      </c>
      <c r="D485" t="s">
        <v>1023</v>
      </c>
      <c r="E485" s="47">
        <v>429</v>
      </c>
      <c r="F485" s="47">
        <v>1670</v>
      </c>
      <c r="G485" s="47">
        <v>716430</v>
      </c>
      <c r="H485" s="47" t="s">
        <v>1025</v>
      </c>
      <c r="I485" s="50" t="s">
        <v>1028</v>
      </c>
      <c r="J485" s="48">
        <v>45962</v>
      </c>
      <c r="K485" s="47">
        <f t="shared" si="7"/>
        <v>11</v>
      </c>
    </row>
    <row r="486" spans="1:11" x14ac:dyDescent="0.25">
      <c r="A486" t="s">
        <v>494</v>
      </c>
      <c r="B486" s="48">
        <v>46035</v>
      </c>
      <c r="C486" t="s">
        <v>1012</v>
      </c>
      <c r="D486" t="s">
        <v>1024</v>
      </c>
      <c r="E486" s="47">
        <v>473</v>
      </c>
      <c r="F486" s="47">
        <v>622</v>
      </c>
      <c r="G486" s="47">
        <v>294206</v>
      </c>
      <c r="H486" s="47" t="s">
        <v>1025</v>
      </c>
      <c r="I486" s="50" t="s">
        <v>1028</v>
      </c>
      <c r="J486" s="48">
        <v>46043</v>
      </c>
      <c r="K486" s="47">
        <f t="shared" si="7"/>
        <v>8</v>
      </c>
    </row>
    <row r="487" spans="1:11" x14ac:dyDescent="0.25">
      <c r="A487" t="s">
        <v>495</v>
      </c>
      <c r="B487" s="48">
        <v>45983</v>
      </c>
      <c r="C487" t="s">
        <v>1010</v>
      </c>
      <c r="D487" t="s">
        <v>1023</v>
      </c>
      <c r="E487" s="47">
        <v>244</v>
      </c>
      <c r="F487" s="47">
        <v>316</v>
      </c>
      <c r="G487" s="47">
        <v>77104</v>
      </c>
      <c r="H487" s="47" t="s">
        <v>1030</v>
      </c>
      <c r="I487" s="50" t="s">
        <v>1029</v>
      </c>
      <c r="J487" s="48" t="s">
        <v>1031</v>
      </c>
      <c r="K487" s="47" t="str">
        <f t="shared" si="7"/>
        <v/>
      </c>
    </row>
    <row r="488" spans="1:11" x14ac:dyDescent="0.25">
      <c r="A488" t="s">
        <v>496</v>
      </c>
      <c r="B488" s="48">
        <v>45750</v>
      </c>
      <c r="C488" t="s">
        <v>1010</v>
      </c>
      <c r="D488" t="s">
        <v>1017</v>
      </c>
      <c r="E488" s="47">
        <v>322</v>
      </c>
      <c r="F488" s="47">
        <v>1987</v>
      </c>
      <c r="G488" s="47">
        <v>639814</v>
      </c>
      <c r="H488" s="47" t="s">
        <v>1030</v>
      </c>
      <c r="I488" s="50" t="s">
        <v>1028</v>
      </c>
      <c r="J488" s="48">
        <v>45757</v>
      </c>
      <c r="K488" s="47">
        <f t="shared" si="7"/>
        <v>7</v>
      </c>
    </row>
    <row r="489" spans="1:11" x14ac:dyDescent="0.25">
      <c r="A489" t="s">
        <v>497</v>
      </c>
      <c r="B489" s="48">
        <v>46008</v>
      </c>
      <c r="C489" t="s">
        <v>1011</v>
      </c>
      <c r="D489" t="s">
        <v>1020</v>
      </c>
      <c r="E489" s="47">
        <v>476</v>
      </c>
      <c r="F489" s="47">
        <v>538</v>
      </c>
      <c r="G489" s="47">
        <v>256088</v>
      </c>
      <c r="H489" s="47" t="s">
        <v>1030</v>
      </c>
      <c r="I489" s="50" t="s">
        <v>1026</v>
      </c>
      <c r="J489" s="48" t="s">
        <v>1031</v>
      </c>
      <c r="K489" s="47" t="str">
        <f t="shared" si="7"/>
        <v/>
      </c>
    </row>
    <row r="490" spans="1:11" x14ac:dyDescent="0.25">
      <c r="A490" t="s">
        <v>498</v>
      </c>
      <c r="B490" s="48">
        <v>45835</v>
      </c>
      <c r="C490" t="s">
        <v>1010</v>
      </c>
      <c r="D490" t="s">
        <v>1017</v>
      </c>
      <c r="E490" s="47">
        <v>20</v>
      </c>
      <c r="F490" s="47">
        <v>1948</v>
      </c>
      <c r="G490" s="47">
        <v>38960</v>
      </c>
      <c r="H490" s="47" t="s">
        <v>1027</v>
      </c>
      <c r="I490" s="50" t="s">
        <v>1028</v>
      </c>
      <c r="J490" s="48">
        <v>45847</v>
      </c>
      <c r="K490" s="47">
        <f t="shared" si="7"/>
        <v>12</v>
      </c>
    </row>
    <row r="491" spans="1:11" x14ac:dyDescent="0.25">
      <c r="A491" t="s">
        <v>499</v>
      </c>
      <c r="B491" s="48">
        <v>46022</v>
      </c>
      <c r="C491" t="s">
        <v>1011</v>
      </c>
      <c r="D491" t="s">
        <v>1022</v>
      </c>
      <c r="E491" s="47">
        <v>310</v>
      </c>
      <c r="F491" s="47">
        <v>1260</v>
      </c>
      <c r="G491" s="47">
        <v>390600</v>
      </c>
      <c r="H491" s="47" t="s">
        <v>1025</v>
      </c>
      <c r="I491" s="50" t="s">
        <v>1029</v>
      </c>
      <c r="J491" s="48" t="s">
        <v>1031</v>
      </c>
      <c r="K491" s="47" t="str">
        <f t="shared" si="7"/>
        <v/>
      </c>
    </row>
    <row r="492" spans="1:11" x14ac:dyDescent="0.25">
      <c r="A492" t="s">
        <v>500</v>
      </c>
      <c r="B492" s="48">
        <v>45720</v>
      </c>
      <c r="C492" t="s">
        <v>1014</v>
      </c>
      <c r="D492" t="s">
        <v>1020</v>
      </c>
      <c r="E492" s="47">
        <v>496</v>
      </c>
      <c r="F492" s="47">
        <v>1272</v>
      </c>
      <c r="G492" s="47">
        <v>630912</v>
      </c>
      <c r="H492" s="47" t="s">
        <v>1025</v>
      </c>
      <c r="I492" s="50" t="s">
        <v>1026</v>
      </c>
      <c r="J492" s="48" t="s">
        <v>1031</v>
      </c>
      <c r="K492" s="47" t="str">
        <f t="shared" si="7"/>
        <v/>
      </c>
    </row>
    <row r="493" spans="1:11" x14ac:dyDescent="0.25">
      <c r="A493" t="s">
        <v>501</v>
      </c>
      <c r="B493" s="48">
        <v>45672</v>
      </c>
      <c r="C493" t="s">
        <v>1013</v>
      </c>
      <c r="D493" t="s">
        <v>1015</v>
      </c>
      <c r="E493" s="47">
        <v>396</v>
      </c>
      <c r="F493" s="47">
        <v>41</v>
      </c>
      <c r="G493" s="47">
        <v>16236</v>
      </c>
      <c r="H493" s="47" t="s">
        <v>1025</v>
      </c>
      <c r="I493" s="50" t="s">
        <v>1029</v>
      </c>
      <c r="J493" s="48" t="s">
        <v>1031</v>
      </c>
      <c r="K493" s="47" t="str">
        <f t="shared" si="7"/>
        <v/>
      </c>
    </row>
    <row r="494" spans="1:11" x14ac:dyDescent="0.25">
      <c r="A494" t="s">
        <v>502</v>
      </c>
      <c r="B494" s="48">
        <v>45925</v>
      </c>
      <c r="C494" t="s">
        <v>1013</v>
      </c>
      <c r="D494" t="s">
        <v>1023</v>
      </c>
      <c r="E494" s="47">
        <v>452</v>
      </c>
      <c r="F494" s="47">
        <v>326</v>
      </c>
      <c r="G494" s="47">
        <v>147352</v>
      </c>
      <c r="H494" s="47" t="s">
        <v>1027</v>
      </c>
      <c r="I494" s="50" t="s">
        <v>1026</v>
      </c>
      <c r="J494" s="48" t="s">
        <v>1031</v>
      </c>
      <c r="K494" s="47" t="str">
        <f t="shared" si="7"/>
        <v/>
      </c>
    </row>
    <row r="495" spans="1:11" x14ac:dyDescent="0.25">
      <c r="A495" t="s">
        <v>503</v>
      </c>
      <c r="B495" s="48">
        <v>45971</v>
      </c>
      <c r="C495" t="s">
        <v>1010</v>
      </c>
      <c r="D495" t="s">
        <v>1023</v>
      </c>
      <c r="E495" s="47">
        <v>143</v>
      </c>
      <c r="F495" s="47">
        <v>316</v>
      </c>
      <c r="G495" s="47">
        <v>45188</v>
      </c>
      <c r="H495" s="47" t="s">
        <v>1030</v>
      </c>
      <c r="I495" s="50" t="s">
        <v>1028</v>
      </c>
      <c r="J495" s="48">
        <v>45985</v>
      </c>
      <c r="K495" s="47">
        <f t="shared" si="7"/>
        <v>14</v>
      </c>
    </row>
    <row r="496" spans="1:11" x14ac:dyDescent="0.25">
      <c r="A496" t="s">
        <v>504</v>
      </c>
      <c r="B496" s="48">
        <v>46047</v>
      </c>
      <c r="C496" t="s">
        <v>1010</v>
      </c>
      <c r="D496" t="s">
        <v>1019</v>
      </c>
      <c r="E496" s="47">
        <v>212</v>
      </c>
      <c r="F496" s="47">
        <v>1331</v>
      </c>
      <c r="G496" s="47">
        <v>282172</v>
      </c>
      <c r="H496" s="47" t="s">
        <v>1030</v>
      </c>
      <c r="I496" s="50" t="s">
        <v>1026</v>
      </c>
      <c r="J496" s="48" t="s">
        <v>1031</v>
      </c>
      <c r="K496" s="47" t="str">
        <f t="shared" si="7"/>
        <v/>
      </c>
    </row>
    <row r="497" spans="1:11" x14ac:dyDescent="0.25">
      <c r="A497" t="s">
        <v>505</v>
      </c>
      <c r="B497" s="48">
        <v>45973</v>
      </c>
      <c r="C497" t="s">
        <v>1014</v>
      </c>
      <c r="D497" t="s">
        <v>1020</v>
      </c>
      <c r="E497" s="47">
        <v>285</v>
      </c>
      <c r="F497" s="47">
        <v>1240</v>
      </c>
      <c r="G497" s="47">
        <v>353400</v>
      </c>
      <c r="H497" s="47" t="s">
        <v>1030</v>
      </c>
      <c r="I497" s="50" t="s">
        <v>1028</v>
      </c>
      <c r="J497" s="48">
        <v>45978</v>
      </c>
      <c r="K497" s="47">
        <f t="shared" si="7"/>
        <v>5</v>
      </c>
    </row>
    <row r="498" spans="1:11" x14ac:dyDescent="0.25">
      <c r="A498" t="s">
        <v>506</v>
      </c>
      <c r="B498" s="48">
        <v>45765</v>
      </c>
      <c r="C498" t="s">
        <v>1013</v>
      </c>
      <c r="D498" t="s">
        <v>1022</v>
      </c>
      <c r="E498" s="47">
        <v>307</v>
      </c>
      <c r="F498" s="47">
        <v>1368</v>
      </c>
      <c r="G498" s="47">
        <v>419976</v>
      </c>
      <c r="H498" s="47" t="s">
        <v>1027</v>
      </c>
      <c r="I498" s="50" t="s">
        <v>1029</v>
      </c>
      <c r="J498" s="48" t="s">
        <v>1031</v>
      </c>
      <c r="K498" s="47" t="str">
        <f t="shared" si="7"/>
        <v/>
      </c>
    </row>
    <row r="499" spans="1:11" x14ac:dyDescent="0.25">
      <c r="A499" t="s">
        <v>507</v>
      </c>
      <c r="B499" s="48">
        <v>45730</v>
      </c>
      <c r="C499" t="s">
        <v>1014</v>
      </c>
      <c r="D499" t="s">
        <v>1016</v>
      </c>
      <c r="E499" s="47">
        <v>419</v>
      </c>
      <c r="F499" s="47">
        <v>188</v>
      </c>
      <c r="G499" s="47">
        <v>78772</v>
      </c>
      <c r="H499" s="47" t="s">
        <v>1030</v>
      </c>
      <c r="I499" s="50" t="s">
        <v>1026</v>
      </c>
      <c r="J499" s="48" t="s">
        <v>1031</v>
      </c>
      <c r="K499" s="47" t="str">
        <f t="shared" si="7"/>
        <v/>
      </c>
    </row>
    <row r="500" spans="1:11" x14ac:dyDescent="0.25">
      <c r="A500" t="s">
        <v>508</v>
      </c>
      <c r="B500" s="48">
        <v>45985</v>
      </c>
      <c r="C500" t="s">
        <v>1011</v>
      </c>
      <c r="D500" t="s">
        <v>1015</v>
      </c>
      <c r="E500" s="47">
        <v>105</v>
      </c>
      <c r="F500" s="47">
        <v>1594</v>
      </c>
      <c r="G500" s="47">
        <v>167370</v>
      </c>
      <c r="H500" s="47" t="s">
        <v>1027</v>
      </c>
      <c r="I500" s="50" t="s">
        <v>1028</v>
      </c>
      <c r="J500" s="48">
        <v>45996</v>
      </c>
      <c r="K500" s="47">
        <f t="shared" si="7"/>
        <v>11</v>
      </c>
    </row>
    <row r="501" spans="1:11" x14ac:dyDescent="0.25">
      <c r="A501" t="s">
        <v>509</v>
      </c>
      <c r="B501" s="48">
        <v>45769</v>
      </c>
      <c r="C501" t="s">
        <v>1010</v>
      </c>
      <c r="D501" t="s">
        <v>1018</v>
      </c>
      <c r="E501" s="47">
        <v>326</v>
      </c>
      <c r="F501" s="47">
        <v>668</v>
      </c>
      <c r="G501" s="47">
        <v>217768</v>
      </c>
      <c r="H501" s="47" t="s">
        <v>1025</v>
      </c>
      <c r="I501" s="50" t="s">
        <v>1028</v>
      </c>
      <c r="J501" s="48">
        <v>45774</v>
      </c>
      <c r="K501" s="47">
        <f t="shared" si="7"/>
        <v>5</v>
      </c>
    </row>
    <row r="502" spans="1:11" x14ac:dyDescent="0.25">
      <c r="A502" t="s">
        <v>510</v>
      </c>
      <c r="B502" s="48">
        <v>45876</v>
      </c>
      <c r="C502" t="s">
        <v>1014</v>
      </c>
      <c r="D502" t="s">
        <v>1018</v>
      </c>
      <c r="E502" s="47">
        <v>138</v>
      </c>
      <c r="F502" s="47">
        <v>356</v>
      </c>
      <c r="G502" s="47">
        <v>49128</v>
      </c>
      <c r="H502" s="47" t="s">
        <v>1027</v>
      </c>
      <c r="I502" s="50" t="s">
        <v>1026</v>
      </c>
      <c r="J502" s="48" t="s">
        <v>1031</v>
      </c>
      <c r="K502" s="47" t="str">
        <f t="shared" si="7"/>
        <v/>
      </c>
    </row>
    <row r="503" spans="1:11" x14ac:dyDescent="0.25">
      <c r="A503" t="s">
        <v>511</v>
      </c>
      <c r="B503" s="48">
        <v>46026</v>
      </c>
      <c r="C503" t="s">
        <v>1010</v>
      </c>
      <c r="D503" t="s">
        <v>1024</v>
      </c>
      <c r="E503" s="47">
        <v>197</v>
      </c>
      <c r="F503" s="47">
        <v>58</v>
      </c>
      <c r="G503" s="47">
        <v>11426</v>
      </c>
      <c r="H503" s="47" t="s">
        <v>1030</v>
      </c>
      <c r="I503" s="50" t="s">
        <v>1029</v>
      </c>
      <c r="J503" s="48" t="s">
        <v>1031</v>
      </c>
      <c r="K503" s="47" t="str">
        <f t="shared" si="7"/>
        <v/>
      </c>
    </row>
    <row r="504" spans="1:11" x14ac:dyDescent="0.25">
      <c r="A504" t="s">
        <v>512</v>
      </c>
      <c r="B504" s="48">
        <v>45659</v>
      </c>
      <c r="C504" t="s">
        <v>1011</v>
      </c>
      <c r="D504" t="s">
        <v>1018</v>
      </c>
      <c r="E504" s="47">
        <v>109</v>
      </c>
      <c r="F504" s="47">
        <v>882</v>
      </c>
      <c r="G504" s="47">
        <v>96138</v>
      </c>
      <c r="H504" s="47" t="s">
        <v>1027</v>
      </c>
      <c r="I504" s="50" t="s">
        <v>1026</v>
      </c>
      <c r="J504" s="48" t="s">
        <v>1031</v>
      </c>
      <c r="K504" s="47" t="str">
        <f t="shared" si="7"/>
        <v/>
      </c>
    </row>
    <row r="505" spans="1:11" x14ac:dyDescent="0.25">
      <c r="A505" t="s">
        <v>513</v>
      </c>
      <c r="B505" s="48">
        <v>45779</v>
      </c>
      <c r="C505" t="s">
        <v>1010</v>
      </c>
      <c r="D505" t="s">
        <v>1020</v>
      </c>
      <c r="E505" s="47">
        <v>311</v>
      </c>
      <c r="F505" s="47">
        <v>1489</v>
      </c>
      <c r="G505" s="47">
        <v>463079</v>
      </c>
      <c r="H505" s="47" t="s">
        <v>1027</v>
      </c>
      <c r="I505" s="50" t="s">
        <v>1026</v>
      </c>
      <c r="J505" s="48" t="s">
        <v>1031</v>
      </c>
      <c r="K505" s="47" t="str">
        <f t="shared" si="7"/>
        <v/>
      </c>
    </row>
    <row r="506" spans="1:11" x14ac:dyDescent="0.25">
      <c r="A506" t="s">
        <v>514</v>
      </c>
      <c r="B506" s="48">
        <v>45872</v>
      </c>
      <c r="C506" t="s">
        <v>1010</v>
      </c>
      <c r="D506" t="s">
        <v>1015</v>
      </c>
      <c r="E506" s="47">
        <v>311</v>
      </c>
      <c r="F506" s="47">
        <v>267</v>
      </c>
      <c r="G506" s="47">
        <v>83037</v>
      </c>
      <c r="H506" s="47" t="s">
        <v>1030</v>
      </c>
      <c r="I506" s="50" t="s">
        <v>1026</v>
      </c>
      <c r="J506" s="48" t="s">
        <v>1031</v>
      </c>
      <c r="K506" s="47" t="str">
        <f t="shared" si="7"/>
        <v/>
      </c>
    </row>
    <row r="507" spans="1:11" x14ac:dyDescent="0.25">
      <c r="A507" t="s">
        <v>515</v>
      </c>
      <c r="B507" s="48">
        <v>45988</v>
      </c>
      <c r="C507" t="s">
        <v>1013</v>
      </c>
      <c r="D507" t="s">
        <v>1015</v>
      </c>
      <c r="E507" s="47">
        <v>195</v>
      </c>
      <c r="F507" s="47">
        <v>979</v>
      </c>
      <c r="G507" s="47">
        <v>190905</v>
      </c>
      <c r="H507" s="47" t="s">
        <v>1027</v>
      </c>
      <c r="I507" s="50" t="s">
        <v>1029</v>
      </c>
      <c r="J507" s="48" t="s">
        <v>1031</v>
      </c>
      <c r="K507" s="47" t="str">
        <f t="shared" si="7"/>
        <v/>
      </c>
    </row>
    <row r="508" spans="1:11" x14ac:dyDescent="0.25">
      <c r="A508" t="s">
        <v>516</v>
      </c>
      <c r="B508" s="48">
        <v>45853</v>
      </c>
      <c r="C508" t="s">
        <v>1011</v>
      </c>
      <c r="D508" t="s">
        <v>1016</v>
      </c>
      <c r="E508" s="47">
        <v>370</v>
      </c>
      <c r="F508" s="47">
        <v>221</v>
      </c>
      <c r="G508" s="47">
        <v>81770</v>
      </c>
      <c r="H508" s="47" t="s">
        <v>1025</v>
      </c>
      <c r="I508" s="50" t="s">
        <v>1029</v>
      </c>
      <c r="J508" s="48" t="s">
        <v>1031</v>
      </c>
      <c r="K508" s="47" t="str">
        <f t="shared" si="7"/>
        <v/>
      </c>
    </row>
    <row r="509" spans="1:11" x14ac:dyDescent="0.25">
      <c r="A509" t="s">
        <v>517</v>
      </c>
      <c r="B509" s="48">
        <v>45837</v>
      </c>
      <c r="C509" t="s">
        <v>1014</v>
      </c>
      <c r="D509" t="s">
        <v>1019</v>
      </c>
      <c r="E509" s="47">
        <v>216</v>
      </c>
      <c r="F509" s="47">
        <v>718</v>
      </c>
      <c r="G509" s="47">
        <v>155088</v>
      </c>
      <c r="H509" s="47" t="s">
        <v>1027</v>
      </c>
      <c r="I509" s="50" t="s">
        <v>1028</v>
      </c>
      <c r="J509" s="48">
        <v>45847</v>
      </c>
      <c r="K509" s="47">
        <f t="shared" si="7"/>
        <v>10</v>
      </c>
    </row>
    <row r="510" spans="1:11" x14ac:dyDescent="0.25">
      <c r="A510" t="s">
        <v>518</v>
      </c>
      <c r="B510" s="48">
        <v>45877</v>
      </c>
      <c r="C510" t="s">
        <v>1014</v>
      </c>
      <c r="D510" t="s">
        <v>1021</v>
      </c>
      <c r="E510" s="47">
        <v>199</v>
      </c>
      <c r="F510" s="47">
        <v>1027</v>
      </c>
      <c r="G510" s="47">
        <v>204373</v>
      </c>
      <c r="H510" s="47" t="s">
        <v>1025</v>
      </c>
      <c r="I510" s="50" t="s">
        <v>1029</v>
      </c>
      <c r="J510" s="48" t="s">
        <v>1031</v>
      </c>
      <c r="K510" s="47" t="str">
        <f t="shared" si="7"/>
        <v/>
      </c>
    </row>
    <row r="511" spans="1:11" x14ac:dyDescent="0.25">
      <c r="A511" t="s">
        <v>519</v>
      </c>
      <c r="B511" s="48">
        <v>45766</v>
      </c>
      <c r="C511" t="s">
        <v>1013</v>
      </c>
      <c r="D511" t="s">
        <v>1015</v>
      </c>
      <c r="E511" s="47">
        <v>124</v>
      </c>
      <c r="F511" s="47">
        <v>884</v>
      </c>
      <c r="G511" s="47">
        <v>109616</v>
      </c>
      <c r="H511" s="47" t="s">
        <v>1025</v>
      </c>
      <c r="I511" s="50" t="s">
        <v>1026</v>
      </c>
      <c r="J511" s="48" t="s">
        <v>1031</v>
      </c>
      <c r="K511" s="47" t="str">
        <f t="shared" si="7"/>
        <v/>
      </c>
    </row>
    <row r="512" spans="1:11" x14ac:dyDescent="0.25">
      <c r="A512" t="s">
        <v>520</v>
      </c>
      <c r="B512" s="48">
        <v>45893</v>
      </c>
      <c r="C512" t="s">
        <v>1010</v>
      </c>
      <c r="D512" t="s">
        <v>1024</v>
      </c>
      <c r="E512" s="47">
        <v>6</v>
      </c>
      <c r="F512" s="47">
        <v>434</v>
      </c>
      <c r="G512" s="47">
        <v>2604</v>
      </c>
      <c r="H512" s="47" t="s">
        <v>1025</v>
      </c>
      <c r="I512" s="50" t="s">
        <v>1026</v>
      </c>
      <c r="J512" s="48" t="s">
        <v>1031</v>
      </c>
      <c r="K512" s="47" t="str">
        <f t="shared" si="7"/>
        <v/>
      </c>
    </row>
    <row r="513" spans="1:11" x14ac:dyDescent="0.25">
      <c r="A513" t="s">
        <v>521</v>
      </c>
      <c r="B513" s="48">
        <v>45730</v>
      </c>
      <c r="C513" t="s">
        <v>1012</v>
      </c>
      <c r="D513" t="s">
        <v>1019</v>
      </c>
      <c r="E513" s="47">
        <v>301</v>
      </c>
      <c r="F513" s="47">
        <v>504</v>
      </c>
      <c r="G513" s="47">
        <v>151704</v>
      </c>
      <c r="H513" s="47" t="s">
        <v>1025</v>
      </c>
      <c r="I513" s="50" t="s">
        <v>1026</v>
      </c>
      <c r="J513" s="48" t="s">
        <v>1031</v>
      </c>
      <c r="K513" s="47" t="str">
        <f t="shared" si="7"/>
        <v/>
      </c>
    </row>
    <row r="514" spans="1:11" x14ac:dyDescent="0.25">
      <c r="A514" t="s">
        <v>522</v>
      </c>
      <c r="B514" s="48">
        <v>45868</v>
      </c>
      <c r="C514" t="s">
        <v>1010</v>
      </c>
      <c r="D514" t="s">
        <v>1016</v>
      </c>
      <c r="E514" s="47">
        <v>253</v>
      </c>
      <c r="F514" s="47">
        <v>1196</v>
      </c>
      <c r="G514" s="47">
        <v>302588</v>
      </c>
      <c r="H514" s="47" t="s">
        <v>1030</v>
      </c>
      <c r="I514" s="50" t="s">
        <v>1026</v>
      </c>
      <c r="J514" s="48" t="s">
        <v>1031</v>
      </c>
      <c r="K514" s="47" t="str">
        <f t="shared" ref="K514:K577" si="8">IF(J514="", "", J514-B514)</f>
        <v/>
      </c>
    </row>
    <row r="515" spans="1:11" x14ac:dyDescent="0.25">
      <c r="A515" t="s">
        <v>523</v>
      </c>
      <c r="B515" s="48">
        <v>45671</v>
      </c>
      <c r="C515" t="s">
        <v>1012</v>
      </c>
      <c r="D515" t="s">
        <v>1017</v>
      </c>
      <c r="E515" s="47">
        <v>223</v>
      </c>
      <c r="F515" s="47">
        <v>764</v>
      </c>
      <c r="G515" s="47">
        <v>170372</v>
      </c>
      <c r="H515" s="47" t="s">
        <v>1027</v>
      </c>
      <c r="I515" s="50" t="s">
        <v>1028</v>
      </c>
      <c r="J515" s="48">
        <v>45677</v>
      </c>
      <c r="K515" s="47">
        <f t="shared" si="8"/>
        <v>6</v>
      </c>
    </row>
    <row r="516" spans="1:11" x14ac:dyDescent="0.25">
      <c r="A516" t="s">
        <v>524</v>
      </c>
      <c r="B516" s="48">
        <v>45909</v>
      </c>
      <c r="C516" t="s">
        <v>1012</v>
      </c>
      <c r="D516" t="s">
        <v>1015</v>
      </c>
      <c r="E516" s="47">
        <v>450</v>
      </c>
      <c r="F516" s="47">
        <v>1621</v>
      </c>
      <c r="G516" s="47">
        <v>729450</v>
      </c>
      <c r="H516" s="47" t="s">
        <v>1025</v>
      </c>
      <c r="I516" s="50" t="s">
        <v>1026</v>
      </c>
      <c r="J516" s="48" t="s">
        <v>1031</v>
      </c>
      <c r="K516" s="47" t="str">
        <f t="shared" si="8"/>
        <v/>
      </c>
    </row>
    <row r="517" spans="1:11" x14ac:dyDescent="0.25">
      <c r="A517" t="s">
        <v>525</v>
      </c>
      <c r="B517" s="48">
        <v>45925</v>
      </c>
      <c r="C517" t="s">
        <v>1013</v>
      </c>
      <c r="D517" t="s">
        <v>1015</v>
      </c>
      <c r="E517" s="47">
        <v>415</v>
      </c>
      <c r="F517" s="47">
        <v>947</v>
      </c>
      <c r="G517" s="47">
        <v>393005</v>
      </c>
      <c r="H517" s="47" t="s">
        <v>1027</v>
      </c>
      <c r="I517" s="50" t="s">
        <v>1026</v>
      </c>
      <c r="J517" s="48" t="s">
        <v>1031</v>
      </c>
      <c r="K517" s="47" t="str">
        <f t="shared" si="8"/>
        <v/>
      </c>
    </row>
    <row r="518" spans="1:11" x14ac:dyDescent="0.25">
      <c r="A518" t="s">
        <v>526</v>
      </c>
      <c r="B518" s="48">
        <v>45834</v>
      </c>
      <c r="C518" t="s">
        <v>1012</v>
      </c>
      <c r="D518" t="s">
        <v>1023</v>
      </c>
      <c r="E518" s="47">
        <v>55</v>
      </c>
      <c r="F518" s="47">
        <v>1203</v>
      </c>
      <c r="G518" s="47">
        <v>66165</v>
      </c>
      <c r="H518" s="47" t="s">
        <v>1027</v>
      </c>
      <c r="I518" s="50" t="s">
        <v>1029</v>
      </c>
      <c r="J518" s="48" t="s">
        <v>1031</v>
      </c>
      <c r="K518" s="47" t="str">
        <f t="shared" si="8"/>
        <v/>
      </c>
    </row>
    <row r="519" spans="1:11" x14ac:dyDescent="0.25">
      <c r="A519" t="s">
        <v>527</v>
      </c>
      <c r="B519" s="48">
        <v>45994</v>
      </c>
      <c r="C519" t="s">
        <v>1014</v>
      </c>
      <c r="D519" t="s">
        <v>1016</v>
      </c>
      <c r="E519" s="47">
        <v>449</v>
      </c>
      <c r="F519" s="47">
        <v>308</v>
      </c>
      <c r="G519" s="47">
        <v>138292</v>
      </c>
      <c r="H519" s="47" t="s">
        <v>1025</v>
      </c>
      <c r="I519" s="50" t="s">
        <v>1028</v>
      </c>
      <c r="J519" s="48">
        <v>45999</v>
      </c>
      <c r="K519" s="47">
        <f t="shared" si="8"/>
        <v>5</v>
      </c>
    </row>
    <row r="520" spans="1:11" x14ac:dyDescent="0.25">
      <c r="A520" t="s">
        <v>528</v>
      </c>
      <c r="B520" s="48">
        <v>45702</v>
      </c>
      <c r="C520" t="s">
        <v>1014</v>
      </c>
      <c r="D520" t="s">
        <v>1020</v>
      </c>
      <c r="E520" s="47">
        <v>107</v>
      </c>
      <c r="F520" s="47">
        <v>122</v>
      </c>
      <c r="G520" s="47">
        <v>13054</v>
      </c>
      <c r="H520" s="47" t="s">
        <v>1025</v>
      </c>
      <c r="I520" s="50" t="s">
        <v>1026</v>
      </c>
      <c r="J520" s="48" t="s">
        <v>1031</v>
      </c>
      <c r="K520" s="47" t="str">
        <f t="shared" si="8"/>
        <v/>
      </c>
    </row>
    <row r="521" spans="1:11" x14ac:dyDescent="0.25">
      <c r="A521" t="s">
        <v>529</v>
      </c>
      <c r="B521" s="48">
        <v>45769</v>
      </c>
      <c r="C521" t="s">
        <v>1014</v>
      </c>
      <c r="D521" t="s">
        <v>1015</v>
      </c>
      <c r="E521" s="47">
        <v>154</v>
      </c>
      <c r="F521" s="47">
        <v>1045</v>
      </c>
      <c r="G521" s="47">
        <v>160930</v>
      </c>
      <c r="H521" s="47" t="s">
        <v>1030</v>
      </c>
      <c r="I521" s="50" t="s">
        <v>1029</v>
      </c>
      <c r="J521" s="48" t="s">
        <v>1031</v>
      </c>
      <c r="K521" s="47" t="str">
        <f t="shared" si="8"/>
        <v/>
      </c>
    </row>
    <row r="522" spans="1:11" x14ac:dyDescent="0.25">
      <c r="A522" t="s">
        <v>530</v>
      </c>
      <c r="B522" s="48">
        <v>45773</v>
      </c>
      <c r="C522" t="s">
        <v>1011</v>
      </c>
      <c r="D522" t="s">
        <v>1015</v>
      </c>
      <c r="E522" s="47">
        <v>231</v>
      </c>
      <c r="F522" s="47">
        <v>836</v>
      </c>
      <c r="G522" s="47">
        <v>193116</v>
      </c>
      <c r="H522" s="47" t="s">
        <v>1025</v>
      </c>
      <c r="I522" s="50" t="s">
        <v>1028</v>
      </c>
      <c r="J522" s="48">
        <v>45788</v>
      </c>
      <c r="K522" s="47">
        <f t="shared" si="8"/>
        <v>15</v>
      </c>
    </row>
    <row r="523" spans="1:11" x14ac:dyDescent="0.25">
      <c r="A523" t="s">
        <v>531</v>
      </c>
      <c r="B523" s="48">
        <v>45882</v>
      </c>
      <c r="C523" t="s">
        <v>1014</v>
      </c>
      <c r="D523" t="s">
        <v>1015</v>
      </c>
      <c r="E523" s="47">
        <v>279</v>
      </c>
      <c r="F523" s="47">
        <v>1863</v>
      </c>
      <c r="G523" s="47">
        <v>519777</v>
      </c>
      <c r="H523" s="47" t="s">
        <v>1030</v>
      </c>
      <c r="I523" s="50" t="s">
        <v>1029</v>
      </c>
      <c r="J523" s="48" t="s">
        <v>1031</v>
      </c>
      <c r="K523" s="47" t="str">
        <f t="shared" si="8"/>
        <v/>
      </c>
    </row>
    <row r="524" spans="1:11" x14ac:dyDescent="0.25">
      <c r="A524" t="s">
        <v>532</v>
      </c>
      <c r="B524" s="48">
        <v>45980</v>
      </c>
      <c r="C524" t="s">
        <v>1010</v>
      </c>
      <c r="D524" t="s">
        <v>1019</v>
      </c>
      <c r="E524" s="47">
        <v>309</v>
      </c>
      <c r="F524" s="47">
        <v>474</v>
      </c>
      <c r="G524" s="47">
        <v>146466</v>
      </c>
      <c r="H524" s="47" t="s">
        <v>1025</v>
      </c>
      <c r="I524" s="50" t="s">
        <v>1026</v>
      </c>
      <c r="J524" s="48" t="s">
        <v>1031</v>
      </c>
      <c r="K524" s="47" t="str">
        <f t="shared" si="8"/>
        <v/>
      </c>
    </row>
    <row r="525" spans="1:11" x14ac:dyDescent="0.25">
      <c r="A525" t="s">
        <v>533</v>
      </c>
      <c r="B525" s="48">
        <v>45676</v>
      </c>
      <c r="C525" t="s">
        <v>1010</v>
      </c>
      <c r="D525" t="s">
        <v>1021</v>
      </c>
      <c r="E525" s="47">
        <v>1</v>
      </c>
      <c r="F525" s="47">
        <v>436</v>
      </c>
      <c r="G525" s="47">
        <v>436</v>
      </c>
      <c r="H525" s="47" t="s">
        <v>1025</v>
      </c>
      <c r="I525" s="50" t="s">
        <v>1028</v>
      </c>
      <c r="J525" s="48">
        <v>45691</v>
      </c>
      <c r="K525" s="47">
        <f t="shared" si="8"/>
        <v>15</v>
      </c>
    </row>
    <row r="526" spans="1:11" x14ac:dyDescent="0.25">
      <c r="A526" t="s">
        <v>534</v>
      </c>
      <c r="B526" s="48">
        <v>45980</v>
      </c>
      <c r="C526" t="s">
        <v>1013</v>
      </c>
      <c r="D526" t="s">
        <v>1021</v>
      </c>
      <c r="E526" s="47">
        <v>187</v>
      </c>
      <c r="F526" s="47">
        <v>113</v>
      </c>
      <c r="G526" s="47">
        <v>21131</v>
      </c>
      <c r="H526" s="47" t="s">
        <v>1030</v>
      </c>
      <c r="I526" s="50" t="s">
        <v>1026</v>
      </c>
      <c r="J526" s="48" t="s">
        <v>1031</v>
      </c>
      <c r="K526" s="47" t="str">
        <f t="shared" si="8"/>
        <v/>
      </c>
    </row>
    <row r="527" spans="1:11" x14ac:dyDescent="0.25">
      <c r="A527" t="s">
        <v>535</v>
      </c>
      <c r="B527" s="48">
        <v>45976</v>
      </c>
      <c r="C527" t="s">
        <v>1010</v>
      </c>
      <c r="D527" t="s">
        <v>1017</v>
      </c>
      <c r="E527" s="47">
        <v>415</v>
      </c>
      <c r="F527" s="47">
        <v>1544</v>
      </c>
      <c r="G527" s="47">
        <v>640760</v>
      </c>
      <c r="H527" s="47" t="s">
        <v>1027</v>
      </c>
      <c r="I527" s="50" t="s">
        <v>1029</v>
      </c>
      <c r="J527" s="48" t="s">
        <v>1031</v>
      </c>
      <c r="K527" s="47" t="str">
        <f t="shared" si="8"/>
        <v/>
      </c>
    </row>
    <row r="528" spans="1:11" x14ac:dyDescent="0.25">
      <c r="A528" t="s">
        <v>536</v>
      </c>
      <c r="B528" s="48">
        <v>45786</v>
      </c>
      <c r="C528" t="s">
        <v>1014</v>
      </c>
      <c r="D528" t="s">
        <v>1024</v>
      </c>
      <c r="E528" s="47">
        <v>99</v>
      </c>
      <c r="F528" s="47">
        <v>1170</v>
      </c>
      <c r="G528" s="47">
        <v>115830</v>
      </c>
      <c r="H528" s="47" t="s">
        <v>1025</v>
      </c>
      <c r="I528" s="50" t="s">
        <v>1028</v>
      </c>
      <c r="J528" s="48">
        <v>45793</v>
      </c>
      <c r="K528" s="47">
        <f t="shared" si="8"/>
        <v>7</v>
      </c>
    </row>
    <row r="529" spans="1:11" x14ac:dyDescent="0.25">
      <c r="A529" t="s">
        <v>537</v>
      </c>
      <c r="B529" s="48">
        <v>45911</v>
      </c>
      <c r="C529" t="s">
        <v>1012</v>
      </c>
      <c r="D529" t="s">
        <v>1017</v>
      </c>
      <c r="E529" s="47">
        <v>272</v>
      </c>
      <c r="F529" s="47">
        <v>600</v>
      </c>
      <c r="G529" s="47">
        <v>163200</v>
      </c>
      <c r="H529" s="47" t="s">
        <v>1025</v>
      </c>
      <c r="I529" s="50" t="s">
        <v>1028</v>
      </c>
      <c r="J529" s="48">
        <v>45919</v>
      </c>
      <c r="K529" s="47">
        <f t="shared" si="8"/>
        <v>8</v>
      </c>
    </row>
    <row r="530" spans="1:11" x14ac:dyDescent="0.25">
      <c r="A530" t="s">
        <v>538</v>
      </c>
      <c r="B530" s="48">
        <v>45702</v>
      </c>
      <c r="C530" t="s">
        <v>1011</v>
      </c>
      <c r="D530" t="s">
        <v>1015</v>
      </c>
      <c r="E530" s="47">
        <v>295</v>
      </c>
      <c r="F530" s="47">
        <v>764</v>
      </c>
      <c r="G530" s="47">
        <v>225380</v>
      </c>
      <c r="H530" s="47" t="s">
        <v>1027</v>
      </c>
      <c r="I530" s="50" t="s">
        <v>1029</v>
      </c>
      <c r="J530" s="48" t="s">
        <v>1031</v>
      </c>
      <c r="K530" s="47" t="str">
        <f t="shared" si="8"/>
        <v/>
      </c>
    </row>
    <row r="531" spans="1:11" x14ac:dyDescent="0.25">
      <c r="A531" t="s">
        <v>539</v>
      </c>
      <c r="B531" s="48">
        <v>45723</v>
      </c>
      <c r="C531" t="s">
        <v>1010</v>
      </c>
      <c r="D531" t="s">
        <v>1024</v>
      </c>
      <c r="E531" s="47">
        <v>201</v>
      </c>
      <c r="F531" s="47">
        <v>1875</v>
      </c>
      <c r="G531" s="47">
        <v>376875</v>
      </c>
      <c r="H531" s="47" t="s">
        <v>1027</v>
      </c>
      <c r="I531" s="50" t="s">
        <v>1026</v>
      </c>
      <c r="J531" s="48" t="s">
        <v>1031</v>
      </c>
      <c r="K531" s="47" t="str">
        <f t="shared" si="8"/>
        <v/>
      </c>
    </row>
    <row r="532" spans="1:11" x14ac:dyDescent="0.25">
      <c r="A532" t="s">
        <v>540</v>
      </c>
      <c r="B532" s="48">
        <v>45968</v>
      </c>
      <c r="C532" t="s">
        <v>1013</v>
      </c>
      <c r="D532" t="s">
        <v>1020</v>
      </c>
      <c r="E532" s="47">
        <v>178</v>
      </c>
      <c r="F532" s="47">
        <v>1034</v>
      </c>
      <c r="G532" s="47">
        <v>184052</v>
      </c>
      <c r="H532" s="47" t="s">
        <v>1027</v>
      </c>
      <c r="I532" s="50" t="s">
        <v>1029</v>
      </c>
      <c r="J532" s="48" t="s">
        <v>1031</v>
      </c>
      <c r="K532" s="47" t="str">
        <f t="shared" si="8"/>
        <v/>
      </c>
    </row>
    <row r="533" spans="1:11" x14ac:dyDescent="0.25">
      <c r="A533" t="s">
        <v>541</v>
      </c>
      <c r="B533" s="48">
        <v>45675</v>
      </c>
      <c r="C533" t="s">
        <v>1013</v>
      </c>
      <c r="D533" t="s">
        <v>1015</v>
      </c>
      <c r="E533" s="47">
        <v>496</v>
      </c>
      <c r="F533" s="47">
        <v>883</v>
      </c>
      <c r="G533" s="47">
        <v>437968</v>
      </c>
      <c r="H533" s="47" t="s">
        <v>1030</v>
      </c>
      <c r="I533" s="50" t="s">
        <v>1029</v>
      </c>
      <c r="J533" s="48" t="s">
        <v>1031</v>
      </c>
      <c r="K533" s="47" t="str">
        <f t="shared" si="8"/>
        <v/>
      </c>
    </row>
    <row r="534" spans="1:11" x14ac:dyDescent="0.25">
      <c r="A534" t="s">
        <v>542</v>
      </c>
      <c r="B534" s="48">
        <v>45788</v>
      </c>
      <c r="C534" t="s">
        <v>1014</v>
      </c>
      <c r="D534" t="s">
        <v>1019</v>
      </c>
      <c r="E534" s="47">
        <v>251</v>
      </c>
      <c r="F534" s="47">
        <v>986</v>
      </c>
      <c r="G534" s="47">
        <v>247486</v>
      </c>
      <c r="H534" s="47" t="s">
        <v>1030</v>
      </c>
      <c r="I534" s="50" t="s">
        <v>1028</v>
      </c>
      <c r="J534" s="48">
        <v>45797</v>
      </c>
      <c r="K534" s="47">
        <f t="shared" si="8"/>
        <v>9</v>
      </c>
    </row>
    <row r="535" spans="1:11" x14ac:dyDescent="0.25">
      <c r="A535" t="s">
        <v>543</v>
      </c>
      <c r="B535" s="48">
        <v>45747</v>
      </c>
      <c r="C535" t="s">
        <v>1013</v>
      </c>
      <c r="D535" t="s">
        <v>1024</v>
      </c>
      <c r="E535" s="47">
        <v>412</v>
      </c>
      <c r="F535" s="47">
        <v>28</v>
      </c>
      <c r="G535" s="47">
        <v>11536</v>
      </c>
      <c r="H535" s="47" t="s">
        <v>1030</v>
      </c>
      <c r="I535" s="50" t="s">
        <v>1028</v>
      </c>
      <c r="J535" s="48">
        <v>45759</v>
      </c>
      <c r="K535" s="47">
        <f t="shared" si="8"/>
        <v>12</v>
      </c>
    </row>
    <row r="536" spans="1:11" x14ac:dyDescent="0.25">
      <c r="A536" t="s">
        <v>544</v>
      </c>
      <c r="B536" s="48">
        <v>45715</v>
      </c>
      <c r="C536" t="s">
        <v>1014</v>
      </c>
      <c r="D536" t="s">
        <v>1023</v>
      </c>
      <c r="E536" s="47">
        <v>152</v>
      </c>
      <c r="F536" s="47">
        <v>791</v>
      </c>
      <c r="G536" s="47">
        <v>120232</v>
      </c>
      <c r="H536" s="47" t="s">
        <v>1030</v>
      </c>
      <c r="I536" s="50" t="s">
        <v>1029</v>
      </c>
      <c r="J536" s="48" t="s">
        <v>1031</v>
      </c>
      <c r="K536" s="47" t="str">
        <f t="shared" si="8"/>
        <v/>
      </c>
    </row>
    <row r="537" spans="1:11" x14ac:dyDescent="0.25">
      <c r="A537" t="s">
        <v>545</v>
      </c>
      <c r="B537" s="48">
        <v>45784</v>
      </c>
      <c r="C537" t="s">
        <v>1013</v>
      </c>
      <c r="D537" t="s">
        <v>1020</v>
      </c>
      <c r="E537" s="47">
        <v>498</v>
      </c>
      <c r="F537" s="47">
        <v>748</v>
      </c>
      <c r="G537" s="47">
        <v>372504</v>
      </c>
      <c r="H537" s="47" t="s">
        <v>1030</v>
      </c>
      <c r="I537" s="50" t="s">
        <v>1026</v>
      </c>
      <c r="J537" s="48" t="s">
        <v>1031</v>
      </c>
      <c r="K537" s="47" t="str">
        <f t="shared" si="8"/>
        <v/>
      </c>
    </row>
    <row r="538" spans="1:11" x14ac:dyDescent="0.25">
      <c r="A538" t="s">
        <v>546</v>
      </c>
      <c r="B538" s="48">
        <v>45856</v>
      </c>
      <c r="C538" t="s">
        <v>1010</v>
      </c>
      <c r="D538" t="s">
        <v>1021</v>
      </c>
      <c r="E538" s="47">
        <v>415</v>
      </c>
      <c r="F538" s="47">
        <v>1931</v>
      </c>
      <c r="G538" s="47">
        <v>801365</v>
      </c>
      <c r="H538" s="47" t="s">
        <v>1027</v>
      </c>
      <c r="I538" s="50" t="s">
        <v>1028</v>
      </c>
      <c r="J538" s="48">
        <v>45861</v>
      </c>
      <c r="K538" s="47">
        <f t="shared" si="8"/>
        <v>5</v>
      </c>
    </row>
    <row r="539" spans="1:11" x14ac:dyDescent="0.25">
      <c r="A539" t="s">
        <v>547</v>
      </c>
      <c r="B539" s="48">
        <v>45874</v>
      </c>
      <c r="C539" t="s">
        <v>1014</v>
      </c>
      <c r="D539" t="s">
        <v>1024</v>
      </c>
      <c r="E539" s="47">
        <v>473</v>
      </c>
      <c r="F539" s="47">
        <v>1432</v>
      </c>
      <c r="G539" s="47">
        <v>677336</v>
      </c>
      <c r="H539" s="47" t="s">
        <v>1027</v>
      </c>
      <c r="I539" s="50" t="s">
        <v>1028</v>
      </c>
      <c r="J539" s="48">
        <v>45886</v>
      </c>
      <c r="K539" s="47">
        <f t="shared" si="8"/>
        <v>12</v>
      </c>
    </row>
    <row r="540" spans="1:11" x14ac:dyDescent="0.25">
      <c r="A540" t="s">
        <v>548</v>
      </c>
      <c r="B540" s="48">
        <v>45684</v>
      </c>
      <c r="C540" t="s">
        <v>1011</v>
      </c>
      <c r="D540" t="s">
        <v>1022</v>
      </c>
      <c r="E540" s="47">
        <v>40</v>
      </c>
      <c r="F540" s="47">
        <v>953</v>
      </c>
      <c r="G540" s="47">
        <v>38120</v>
      </c>
      <c r="H540" s="47" t="s">
        <v>1027</v>
      </c>
      <c r="I540" s="50" t="s">
        <v>1028</v>
      </c>
      <c r="J540" s="48">
        <v>45695</v>
      </c>
      <c r="K540" s="47">
        <f t="shared" si="8"/>
        <v>11</v>
      </c>
    </row>
    <row r="541" spans="1:11" x14ac:dyDescent="0.25">
      <c r="A541" t="s">
        <v>549</v>
      </c>
      <c r="B541" s="48">
        <v>45800</v>
      </c>
      <c r="C541" t="s">
        <v>1012</v>
      </c>
      <c r="D541" t="s">
        <v>1019</v>
      </c>
      <c r="E541" s="47">
        <v>435</v>
      </c>
      <c r="F541" s="47">
        <v>950</v>
      </c>
      <c r="G541" s="47">
        <v>413250</v>
      </c>
      <c r="H541" s="47" t="s">
        <v>1030</v>
      </c>
      <c r="I541" s="50" t="s">
        <v>1029</v>
      </c>
      <c r="J541" s="48" t="s">
        <v>1031</v>
      </c>
      <c r="K541" s="47" t="str">
        <f t="shared" si="8"/>
        <v/>
      </c>
    </row>
    <row r="542" spans="1:11" x14ac:dyDescent="0.25">
      <c r="A542" t="s">
        <v>550</v>
      </c>
      <c r="B542" s="48">
        <v>46041</v>
      </c>
      <c r="C542" t="s">
        <v>1013</v>
      </c>
      <c r="D542" t="s">
        <v>1016</v>
      </c>
      <c r="E542" s="47">
        <v>423</v>
      </c>
      <c r="F542" s="47">
        <v>439</v>
      </c>
      <c r="G542" s="47">
        <v>185697</v>
      </c>
      <c r="H542" s="47" t="s">
        <v>1030</v>
      </c>
      <c r="I542" s="50" t="s">
        <v>1026</v>
      </c>
      <c r="J542" s="48" t="s">
        <v>1031</v>
      </c>
      <c r="K542" s="47" t="str">
        <f t="shared" si="8"/>
        <v/>
      </c>
    </row>
    <row r="543" spans="1:11" x14ac:dyDescent="0.25">
      <c r="A543" t="s">
        <v>551</v>
      </c>
      <c r="B543" s="48">
        <v>46048</v>
      </c>
      <c r="C543" t="s">
        <v>1014</v>
      </c>
      <c r="D543" t="s">
        <v>1019</v>
      </c>
      <c r="E543" s="47">
        <v>296</v>
      </c>
      <c r="F543" s="47">
        <v>1752</v>
      </c>
      <c r="G543" s="47">
        <v>518592</v>
      </c>
      <c r="H543" s="47" t="s">
        <v>1027</v>
      </c>
      <c r="I543" s="50" t="s">
        <v>1029</v>
      </c>
      <c r="J543" s="48" t="s">
        <v>1031</v>
      </c>
      <c r="K543" s="47" t="str">
        <f t="shared" si="8"/>
        <v/>
      </c>
    </row>
    <row r="544" spans="1:11" x14ac:dyDescent="0.25">
      <c r="A544" t="s">
        <v>552</v>
      </c>
      <c r="B544" s="48">
        <v>45705</v>
      </c>
      <c r="C544" t="s">
        <v>1014</v>
      </c>
      <c r="D544" t="s">
        <v>1019</v>
      </c>
      <c r="E544" s="47">
        <v>226</v>
      </c>
      <c r="F544" s="47">
        <v>884</v>
      </c>
      <c r="G544" s="47">
        <v>199784</v>
      </c>
      <c r="H544" s="47" t="s">
        <v>1030</v>
      </c>
      <c r="I544" s="50" t="s">
        <v>1028</v>
      </c>
      <c r="J544" s="48">
        <v>45718</v>
      </c>
      <c r="K544" s="47">
        <f t="shared" si="8"/>
        <v>13</v>
      </c>
    </row>
    <row r="545" spans="1:11" x14ac:dyDescent="0.25">
      <c r="A545" t="s">
        <v>553</v>
      </c>
      <c r="B545" s="48">
        <v>46001</v>
      </c>
      <c r="C545" t="s">
        <v>1010</v>
      </c>
      <c r="D545" t="s">
        <v>1024</v>
      </c>
      <c r="E545" s="47">
        <v>5</v>
      </c>
      <c r="F545" s="47">
        <v>1255</v>
      </c>
      <c r="G545" s="47">
        <v>6275</v>
      </c>
      <c r="H545" s="47" t="s">
        <v>1030</v>
      </c>
      <c r="I545" s="50" t="s">
        <v>1028</v>
      </c>
      <c r="J545" s="48">
        <v>46010</v>
      </c>
      <c r="K545" s="47">
        <f t="shared" si="8"/>
        <v>9</v>
      </c>
    </row>
    <row r="546" spans="1:11" x14ac:dyDescent="0.25">
      <c r="A546" t="s">
        <v>554</v>
      </c>
      <c r="B546" s="48">
        <v>45895</v>
      </c>
      <c r="C546" t="s">
        <v>1014</v>
      </c>
      <c r="D546" t="s">
        <v>1020</v>
      </c>
      <c r="E546" s="47">
        <v>28</v>
      </c>
      <c r="F546" s="47">
        <v>952</v>
      </c>
      <c r="G546" s="47">
        <v>26656</v>
      </c>
      <c r="H546" s="47" t="s">
        <v>1025</v>
      </c>
      <c r="I546" s="50" t="s">
        <v>1029</v>
      </c>
      <c r="J546" s="48" t="s">
        <v>1031</v>
      </c>
      <c r="K546" s="47" t="str">
        <f t="shared" si="8"/>
        <v/>
      </c>
    </row>
    <row r="547" spans="1:11" x14ac:dyDescent="0.25">
      <c r="A547" t="s">
        <v>555</v>
      </c>
      <c r="B547" s="48">
        <v>45860</v>
      </c>
      <c r="C547" t="s">
        <v>1010</v>
      </c>
      <c r="D547" t="s">
        <v>1020</v>
      </c>
      <c r="E547" s="47">
        <v>470</v>
      </c>
      <c r="F547" s="47">
        <v>1589</v>
      </c>
      <c r="G547" s="47">
        <v>746830</v>
      </c>
      <c r="H547" s="47" t="s">
        <v>1030</v>
      </c>
      <c r="I547" s="50" t="s">
        <v>1028</v>
      </c>
      <c r="J547" s="48">
        <v>45873</v>
      </c>
      <c r="K547" s="47">
        <f t="shared" si="8"/>
        <v>13</v>
      </c>
    </row>
    <row r="548" spans="1:11" x14ac:dyDescent="0.25">
      <c r="A548" t="s">
        <v>556</v>
      </c>
      <c r="B548" s="48">
        <v>45672</v>
      </c>
      <c r="C548" t="s">
        <v>1014</v>
      </c>
      <c r="D548" t="s">
        <v>1015</v>
      </c>
      <c r="E548" s="47">
        <v>382</v>
      </c>
      <c r="F548" s="47">
        <v>1743</v>
      </c>
      <c r="G548" s="47">
        <v>665826</v>
      </c>
      <c r="H548" s="47" t="s">
        <v>1030</v>
      </c>
      <c r="I548" s="50" t="s">
        <v>1028</v>
      </c>
      <c r="J548" s="48">
        <v>45682</v>
      </c>
      <c r="K548" s="47">
        <f t="shared" si="8"/>
        <v>10</v>
      </c>
    </row>
    <row r="549" spans="1:11" x14ac:dyDescent="0.25">
      <c r="A549" t="s">
        <v>557</v>
      </c>
      <c r="B549" s="48">
        <v>45665</v>
      </c>
      <c r="C549" t="s">
        <v>1011</v>
      </c>
      <c r="D549" t="s">
        <v>1015</v>
      </c>
      <c r="E549" s="47">
        <v>107</v>
      </c>
      <c r="F549" s="47">
        <v>1204</v>
      </c>
      <c r="G549" s="47">
        <v>128828</v>
      </c>
      <c r="H549" s="47" t="s">
        <v>1027</v>
      </c>
      <c r="I549" s="50" t="s">
        <v>1029</v>
      </c>
      <c r="J549" s="48" t="s">
        <v>1031</v>
      </c>
      <c r="K549" s="47" t="str">
        <f t="shared" si="8"/>
        <v/>
      </c>
    </row>
    <row r="550" spans="1:11" x14ac:dyDescent="0.25">
      <c r="A550" t="s">
        <v>558</v>
      </c>
      <c r="B550" s="48">
        <v>45771</v>
      </c>
      <c r="C550" t="s">
        <v>1013</v>
      </c>
      <c r="D550" t="s">
        <v>1023</v>
      </c>
      <c r="E550" s="47">
        <v>304</v>
      </c>
      <c r="F550" s="47">
        <v>979</v>
      </c>
      <c r="G550" s="47">
        <v>297616</v>
      </c>
      <c r="H550" s="47" t="s">
        <v>1030</v>
      </c>
      <c r="I550" s="50" t="s">
        <v>1026</v>
      </c>
      <c r="J550" s="48" t="s">
        <v>1031</v>
      </c>
      <c r="K550" s="47" t="str">
        <f t="shared" si="8"/>
        <v/>
      </c>
    </row>
    <row r="551" spans="1:11" x14ac:dyDescent="0.25">
      <c r="A551" t="s">
        <v>559</v>
      </c>
      <c r="B551" s="48">
        <v>45663</v>
      </c>
      <c r="C551" t="s">
        <v>1012</v>
      </c>
      <c r="D551" t="s">
        <v>1021</v>
      </c>
      <c r="E551" s="47">
        <v>84</v>
      </c>
      <c r="F551" s="47">
        <v>1378</v>
      </c>
      <c r="G551" s="47">
        <v>115752</v>
      </c>
      <c r="H551" s="47" t="s">
        <v>1027</v>
      </c>
      <c r="I551" s="50" t="s">
        <v>1029</v>
      </c>
      <c r="J551" s="48" t="s">
        <v>1031</v>
      </c>
      <c r="K551" s="47" t="str">
        <f t="shared" si="8"/>
        <v/>
      </c>
    </row>
    <row r="552" spans="1:11" x14ac:dyDescent="0.25">
      <c r="A552" t="s">
        <v>560</v>
      </c>
      <c r="B552" s="48">
        <v>45784</v>
      </c>
      <c r="C552" t="s">
        <v>1014</v>
      </c>
      <c r="D552" t="s">
        <v>1016</v>
      </c>
      <c r="E552" s="47">
        <v>148</v>
      </c>
      <c r="F552" s="47">
        <v>650</v>
      </c>
      <c r="G552" s="47">
        <v>96200</v>
      </c>
      <c r="H552" s="47" t="s">
        <v>1027</v>
      </c>
      <c r="I552" s="50" t="s">
        <v>1028</v>
      </c>
      <c r="J552" s="48">
        <v>45799</v>
      </c>
      <c r="K552" s="47">
        <f t="shared" si="8"/>
        <v>15</v>
      </c>
    </row>
    <row r="553" spans="1:11" x14ac:dyDescent="0.25">
      <c r="A553" t="s">
        <v>561</v>
      </c>
      <c r="B553" s="48">
        <v>45701</v>
      </c>
      <c r="C553" t="s">
        <v>1014</v>
      </c>
      <c r="D553" t="s">
        <v>1024</v>
      </c>
      <c r="E553" s="47">
        <v>177</v>
      </c>
      <c r="F553" s="47">
        <v>1614</v>
      </c>
      <c r="G553" s="47">
        <v>285678</v>
      </c>
      <c r="H553" s="47" t="s">
        <v>1030</v>
      </c>
      <c r="I553" s="50" t="s">
        <v>1026</v>
      </c>
      <c r="J553" s="48" t="s">
        <v>1031</v>
      </c>
      <c r="K553" s="47" t="str">
        <f t="shared" si="8"/>
        <v/>
      </c>
    </row>
    <row r="554" spans="1:11" x14ac:dyDescent="0.25">
      <c r="A554" t="s">
        <v>562</v>
      </c>
      <c r="B554" s="48">
        <v>45911</v>
      </c>
      <c r="C554" t="s">
        <v>1014</v>
      </c>
      <c r="D554" t="s">
        <v>1021</v>
      </c>
      <c r="E554" s="47">
        <v>27</v>
      </c>
      <c r="F554" s="47">
        <v>194</v>
      </c>
      <c r="G554" s="47">
        <v>5238</v>
      </c>
      <c r="H554" s="47" t="s">
        <v>1027</v>
      </c>
      <c r="I554" s="50" t="s">
        <v>1026</v>
      </c>
      <c r="J554" s="48" t="s">
        <v>1031</v>
      </c>
      <c r="K554" s="47" t="str">
        <f t="shared" si="8"/>
        <v/>
      </c>
    </row>
    <row r="555" spans="1:11" x14ac:dyDescent="0.25">
      <c r="A555" t="s">
        <v>563</v>
      </c>
      <c r="B555" s="48">
        <v>45772</v>
      </c>
      <c r="C555" t="s">
        <v>1013</v>
      </c>
      <c r="D555" t="s">
        <v>1018</v>
      </c>
      <c r="E555" s="47">
        <v>166</v>
      </c>
      <c r="F555" s="47">
        <v>656</v>
      </c>
      <c r="G555" s="47">
        <v>108896</v>
      </c>
      <c r="H555" s="47" t="s">
        <v>1025</v>
      </c>
      <c r="I555" s="50" t="s">
        <v>1026</v>
      </c>
      <c r="J555" s="48" t="s">
        <v>1031</v>
      </c>
      <c r="K555" s="47" t="str">
        <f t="shared" si="8"/>
        <v/>
      </c>
    </row>
    <row r="556" spans="1:11" x14ac:dyDescent="0.25">
      <c r="A556" t="s">
        <v>564</v>
      </c>
      <c r="B556" s="48">
        <v>45953</v>
      </c>
      <c r="C556" t="s">
        <v>1012</v>
      </c>
      <c r="D556" t="s">
        <v>1022</v>
      </c>
      <c r="E556" s="47">
        <v>403</v>
      </c>
      <c r="F556" s="47">
        <v>447</v>
      </c>
      <c r="G556" s="47">
        <v>180141</v>
      </c>
      <c r="H556" s="47" t="s">
        <v>1030</v>
      </c>
      <c r="I556" s="50" t="s">
        <v>1028</v>
      </c>
      <c r="J556" s="48">
        <v>45964</v>
      </c>
      <c r="K556" s="47">
        <f t="shared" si="8"/>
        <v>11</v>
      </c>
    </row>
    <row r="557" spans="1:11" x14ac:dyDescent="0.25">
      <c r="A557" t="s">
        <v>565</v>
      </c>
      <c r="B557" s="48">
        <v>45712</v>
      </c>
      <c r="C557" t="s">
        <v>1013</v>
      </c>
      <c r="D557" t="s">
        <v>1017</v>
      </c>
      <c r="E557" s="47">
        <v>434</v>
      </c>
      <c r="F557" s="47">
        <v>681</v>
      </c>
      <c r="G557" s="47">
        <v>295554</v>
      </c>
      <c r="H557" s="47" t="s">
        <v>1030</v>
      </c>
      <c r="I557" s="50" t="s">
        <v>1028</v>
      </c>
      <c r="J557" s="48">
        <v>45720</v>
      </c>
      <c r="K557" s="47">
        <f t="shared" si="8"/>
        <v>8</v>
      </c>
    </row>
    <row r="558" spans="1:11" x14ac:dyDescent="0.25">
      <c r="A558" t="s">
        <v>566</v>
      </c>
      <c r="B558" s="48">
        <v>46044</v>
      </c>
      <c r="C558" t="s">
        <v>1010</v>
      </c>
      <c r="D558" t="s">
        <v>1015</v>
      </c>
      <c r="E558" s="47">
        <v>68</v>
      </c>
      <c r="F558" s="47">
        <v>1554</v>
      </c>
      <c r="G558" s="47">
        <v>105672</v>
      </c>
      <c r="H558" s="47" t="s">
        <v>1030</v>
      </c>
      <c r="I558" s="50" t="s">
        <v>1029</v>
      </c>
      <c r="J558" s="48" t="s">
        <v>1031</v>
      </c>
      <c r="K558" s="47" t="str">
        <f t="shared" si="8"/>
        <v/>
      </c>
    </row>
    <row r="559" spans="1:11" x14ac:dyDescent="0.25">
      <c r="A559" t="s">
        <v>567</v>
      </c>
      <c r="B559" s="48">
        <v>45877</v>
      </c>
      <c r="C559" t="s">
        <v>1011</v>
      </c>
      <c r="D559" t="s">
        <v>1017</v>
      </c>
      <c r="E559" s="47">
        <v>220</v>
      </c>
      <c r="F559" s="47">
        <v>985</v>
      </c>
      <c r="G559" s="47">
        <v>216700</v>
      </c>
      <c r="H559" s="47" t="s">
        <v>1025</v>
      </c>
      <c r="I559" s="50" t="s">
        <v>1029</v>
      </c>
      <c r="J559" s="48" t="s">
        <v>1031</v>
      </c>
      <c r="K559" s="47" t="str">
        <f t="shared" si="8"/>
        <v/>
      </c>
    </row>
    <row r="560" spans="1:11" x14ac:dyDescent="0.25">
      <c r="A560" t="s">
        <v>568</v>
      </c>
      <c r="B560" s="48">
        <v>45761</v>
      </c>
      <c r="C560" t="s">
        <v>1010</v>
      </c>
      <c r="D560" t="s">
        <v>1019</v>
      </c>
      <c r="E560" s="47">
        <v>260</v>
      </c>
      <c r="F560" s="47">
        <v>1919</v>
      </c>
      <c r="G560" s="47">
        <v>498940</v>
      </c>
      <c r="H560" s="47" t="s">
        <v>1030</v>
      </c>
      <c r="I560" s="50" t="s">
        <v>1028</v>
      </c>
      <c r="J560" s="48">
        <v>45775</v>
      </c>
      <c r="K560" s="47">
        <f t="shared" si="8"/>
        <v>14</v>
      </c>
    </row>
    <row r="561" spans="1:11" x14ac:dyDescent="0.25">
      <c r="A561" t="s">
        <v>569</v>
      </c>
      <c r="B561" s="48">
        <v>45867</v>
      </c>
      <c r="C561" t="s">
        <v>1014</v>
      </c>
      <c r="D561" t="s">
        <v>1015</v>
      </c>
      <c r="E561" s="47">
        <v>457</v>
      </c>
      <c r="F561" s="47">
        <v>1681</v>
      </c>
      <c r="G561" s="47">
        <v>768217</v>
      </c>
      <c r="H561" s="47" t="s">
        <v>1030</v>
      </c>
      <c r="I561" s="50" t="s">
        <v>1029</v>
      </c>
      <c r="J561" s="48" t="s">
        <v>1031</v>
      </c>
      <c r="K561" s="47" t="str">
        <f t="shared" si="8"/>
        <v/>
      </c>
    </row>
    <row r="562" spans="1:11" x14ac:dyDescent="0.25">
      <c r="A562" t="s">
        <v>570</v>
      </c>
      <c r="B562" s="48">
        <v>45904</v>
      </c>
      <c r="C562" t="s">
        <v>1012</v>
      </c>
      <c r="D562" t="s">
        <v>1024</v>
      </c>
      <c r="E562" s="47">
        <v>492</v>
      </c>
      <c r="F562" s="47">
        <v>478</v>
      </c>
      <c r="G562" s="47">
        <v>235176</v>
      </c>
      <c r="H562" s="47" t="s">
        <v>1027</v>
      </c>
      <c r="I562" s="50" t="s">
        <v>1026</v>
      </c>
      <c r="J562" s="48" t="s">
        <v>1031</v>
      </c>
      <c r="K562" s="47" t="str">
        <f t="shared" si="8"/>
        <v/>
      </c>
    </row>
    <row r="563" spans="1:11" x14ac:dyDescent="0.25">
      <c r="A563" t="s">
        <v>571</v>
      </c>
      <c r="B563" s="48">
        <v>45687</v>
      </c>
      <c r="C563" t="s">
        <v>1012</v>
      </c>
      <c r="D563" t="s">
        <v>1021</v>
      </c>
      <c r="E563" s="47">
        <v>452</v>
      </c>
      <c r="F563" s="47">
        <v>704</v>
      </c>
      <c r="G563" s="47">
        <v>318208</v>
      </c>
      <c r="H563" s="47" t="s">
        <v>1030</v>
      </c>
      <c r="I563" s="50" t="s">
        <v>1028</v>
      </c>
      <c r="J563" s="48">
        <v>45699</v>
      </c>
      <c r="K563" s="47">
        <f t="shared" si="8"/>
        <v>12</v>
      </c>
    </row>
    <row r="564" spans="1:11" x14ac:dyDescent="0.25">
      <c r="A564" t="s">
        <v>572</v>
      </c>
      <c r="B564" s="48">
        <v>45763</v>
      </c>
      <c r="C564" t="s">
        <v>1014</v>
      </c>
      <c r="D564" t="s">
        <v>1024</v>
      </c>
      <c r="E564" s="47">
        <v>277</v>
      </c>
      <c r="F564" s="47">
        <v>1272</v>
      </c>
      <c r="G564" s="47">
        <v>352344</v>
      </c>
      <c r="H564" s="47" t="s">
        <v>1025</v>
      </c>
      <c r="I564" s="50" t="s">
        <v>1028</v>
      </c>
      <c r="J564" s="48">
        <v>45768</v>
      </c>
      <c r="K564" s="47">
        <f t="shared" si="8"/>
        <v>5</v>
      </c>
    </row>
    <row r="565" spans="1:11" x14ac:dyDescent="0.25">
      <c r="A565" t="s">
        <v>573</v>
      </c>
      <c r="B565" s="48">
        <v>45974</v>
      </c>
      <c r="C565" t="s">
        <v>1012</v>
      </c>
      <c r="D565" t="s">
        <v>1021</v>
      </c>
      <c r="E565" s="47">
        <v>124</v>
      </c>
      <c r="F565" s="47">
        <v>486</v>
      </c>
      <c r="G565" s="47">
        <v>60264</v>
      </c>
      <c r="H565" s="47" t="s">
        <v>1027</v>
      </c>
      <c r="I565" s="50" t="s">
        <v>1029</v>
      </c>
      <c r="J565" s="48" t="s">
        <v>1031</v>
      </c>
      <c r="K565" s="47" t="str">
        <f t="shared" si="8"/>
        <v/>
      </c>
    </row>
    <row r="566" spans="1:11" x14ac:dyDescent="0.25">
      <c r="A566" t="s">
        <v>574</v>
      </c>
      <c r="B566" s="48">
        <v>45710</v>
      </c>
      <c r="C566" t="s">
        <v>1012</v>
      </c>
      <c r="D566" t="s">
        <v>1019</v>
      </c>
      <c r="E566" s="47">
        <v>117</v>
      </c>
      <c r="F566" s="47">
        <v>1943</v>
      </c>
      <c r="G566" s="47">
        <v>227331</v>
      </c>
      <c r="H566" s="47" t="s">
        <v>1027</v>
      </c>
      <c r="I566" s="50" t="s">
        <v>1028</v>
      </c>
      <c r="J566" s="48">
        <v>45721</v>
      </c>
      <c r="K566" s="47">
        <f t="shared" si="8"/>
        <v>11</v>
      </c>
    </row>
    <row r="567" spans="1:11" x14ac:dyDescent="0.25">
      <c r="A567" t="s">
        <v>575</v>
      </c>
      <c r="B567" s="48">
        <v>45996</v>
      </c>
      <c r="C567" t="s">
        <v>1011</v>
      </c>
      <c r="D567" t="s">
        <v>1016</v>
      </c>
      <c r="E567" s="47">
        <v>85</v>
      </c>
      <c r="F567" s="47">
        <v>1872</v>
      </c>
      <c r="G567" s="47">
        <v>159120</v>
      </c>
      <c r="H567" s="47" t="s">
        <v>1030</v>
      </c>
      <c r="I567" s="50" t="s">
        <v>1029</v>
      </c>
      <c r="J567" s="48" t="s">
        <v>1031</v>
      </c>
      <c r="K567" s="47" t="str">
        <f t="shared" si="8"/>
        <v/>
      </c>
    </row>
    <row r="568" spans="1:11" x14ac:dyDescent="0.25">
      <c r="A568" t="s">
        <v>576</v>
      </c>
      <c r="B568" s="48">
        <v>45747</v>
      </c>
      <c r="C568" t="s">
        <v>1014</v>
      </c>
      <c r="D568" t="s">
        <v>1020</v>
      </c>
      <c r="E568" s="47">
        <v>446</v>
      </c>
      <c r="F568" s="47">
        <v>1704</v>
      </c>
      <c r="G568" s="47">
        <v>759984</v>
      </c>
      <c r="H568" s="47" t="s">
        <v>1025</v>
      </c>
      <c r="I568" s="50" t="s">
        <v>1029</v>
      </c>
      <c r="J568" s="48" t="s">
        <v>1031</v>
      </c>
      <c r="K568" s="47" t="str">
        <f t="shared" si="8"/>
        <v/>
      </c>
    </row>
    <row r="569" spans="1:11" x14ac:dyDescent="0.25">
      <c r="A569" t="s">
        <v>577</v>
      </c>
      <c r="B569" s="48">
        <v>45988</v>
      </c>
      <c r="C569" t="s">
        <v>1010</v>
      </c>
      <c r="D569" t="s">
        <v>1018</v>
      </c>
      <c r="E569" s="47">
        <v>339</v>
      </c>
      <c r="F569" s="47">
        <v>329</v>
      </c>
      <c r="G569" s="47">
        <v>111531</v>
      </c>
      <c r="H569" s="47" t="s">
        <v>1030</v>
      </c>
      <c r="I569" s="50" t="s">
        <v>1029</v>
      </c>
      <c r="J569" s="48" t="s">
        <v>1031</v>
      </c>
      <c r="K569" s="47" t="str">
        <f t="shared" si="8"/>
        <v/>
      </c>
    </row>
    <row r="570" spans="1:11" x14ac:dyDescent="0.25">
      <c r="A570" t="s">
        <v>578</v>
      </c>
      <c r="B570" s="48">
        <v>46021</v>
      </c>
      <c r="C570" t="s">
        <v>1013</v>
      </c>
      <c r="D570" t="s">
        <v>1017</v>
      </c>
      <c r="E570" s="47">
        <v>316</v>
      </c>
      <c r="F570" s="47">
        <v>1528</v>
      </c>
      <c r="G570" s="47">
        <v>482848</v>
      </c>
      <c r="H570" s="47" t="s">
        <v>1027</v>
      </c>
      <c r="I570" s="50" t="s">
        <v>1026</v>
      </c>
      <c r="J570" s="48" t="s">
        <v>1031</v>
      </c>
      <c r="K570" s="47" t="str">
        <f t="shared" si="8"/>
        <v/>
      </c>
    </row>
    <row r="571" spans="1:11" x14ac:dyDescent="0.25">
      <c r="A571" t="s">
        <v>579</v>
      </c>
      <c r="B571" s="48">
        <v>45789</v>
      </c>
      <c r="C571" t="s">
        <v>1011</v>
      </c>
      <c r="D571" t="s">
        <v>1018</v>
      </c>
      <c r="E571" s="47">
        <v>199</v>
      </c>
      <c r="F571" s="47">
        <v>1109</v>
      </c>
      <c r="G571" s="47">
        <v>220691</v>
      </c>
      <c r="H571" s="47" t="s">
        <v>1030</v>
      </c>
      <c r="I571" s="50" t="s">
        <v>1028</v>
      </c>
      <c r="J571" s="48">
        <v>45794</v>
      </c>
      <c r="K571" s="47">
        <f t="shared" si="8"/>
        <v>5</v>
      </c>
    </row>
    <row r="572" spans="1:11" x14ac:dyDescent="0.25">
      <c r="A572" t="s">
        <v>580</v>
      </c>
      <c r="B572" s="48">
        <v>45690</v>
      </c>
      <c r="C572" t="s">
        <v>1011</v>
      </c>
      <c r="D572" t="s">
        <v>1021</v>
      </c>
      <c r="E572" s="47">
        <v>455</v>
      </c>
      <c r="F572" s="47">
        <v>810</v>
      </c>
      <c r="G572" s="47">
        <v>368550</v>
      </c>
      <c r="H572" s="47" t="s">
        <v>1030</v>
      </c>
      <c r="I572" s="50" t="s">
        <v>1026</v>
      </c>
      <c r="J572" s="48" t="s">
        <v>1031</v>
      </c>
      <c r="K572" s="47" t="str">
        <f t="shared" si="8"/>
        <v/>
      </c>
    </row>
    <row r="573" spans="1:11" x14ac:dyDescent="0.25">
      <c r="A573" t="s">
        <v>581</v>
      </c>
      <c r="B573" s="48">
        <v>45987</v>
      </c>
      <c r="C573" t="s">
        <v>1013</v>
      </c>
      <c r="D573" t="s">
        <v>1017</v>
      </c>
      <c r="E573" s="47">
        <v>222</v>
      </c>
      <c r="F573" s="47">
        <v>1272</v>
      </c>
      <c r="G573" s="47">
        <v>282384</v>
      </c>
      <c r="H573" s="47" t="s">
        <v>1025</v>
      </c>
      <c r="I573" s="50" t="s">
        <v>1028</v>
      </c>
      <c r="J573" s="48">
        <v>45997</v>
      </c>
      <c r="K573" s="47">
        <f t="shared" si="8"/>
        <v>10</v>
      </c>
    </row>
    <row r="574" spans="1:11" x14ac:dyDescent="0.25">
      <c r="A574" t="s">
        <v>582</v>
      </c>
      <c r="B574" s="48">
        <v>46049</v>
      </c>
      <c r="C574" t="s">
        <v>1012</v>
      </c>
      <c r="D574" t="s">
        <v>1016</v>
      </c>
      <c r="E574" s="47">
        <v>392</v>
      </c>
      <c r="F574" s="47">
        <v>1437</v>
      </c>
      <c r="G574" s="47">
        <v>563304</v>
      </c>
      <c r="H574" s="47" t="s">
        <v>1027</v>
      </c>
      <c r="I574" s="50" t="s">
        <v>1029</v>
      </c>
      <c r="J574" s="48" t="s">
        <v>1031</v>
      </c>
      <c r="K574" s="47" t="str">
        <f t="shared" si="8"/>
        <v/>
      </c>
    </row>
    <row r="575" spans="1:11" x14ac:dyDescent="0.25">
      <c r="A575" t="s">
        <v>583</v>
      </c>
      <c r="B575" s="48">
        <v>45985</v>
      </c>
      <c r="C575" t="s">
        <v>1012</v>
      </c>
      <c r="D575" t="s">
        <v>1016</v>
      </c>
      <c r="E575" s="47">
        <v>444</v>
      </c>
      <c r="F575" s="47">
        <v>1892</v>
      </c>
      <c r="G575" s="47">
        <v>840048</v>
      </c>
      <c r="H575" s="47" t="s">
        <v>1025</v>
      </c>
      <c r="I575" s="50" t="s">
        <v>1029</v>
      </c>
      <c r="J575" s="48" t="s">
        <v>1031</v>
      </c>
      <c r="K575" s="47" t="str">
        <f t="shared" si="8"/>
        <v/>
      </c>
    </row>
    <row r="576" spans="1:11" x14ac:dyDescent="0.25">
      <c r="A576" t="s">
        <v>584</v>
      </c>
      <c r="B576" s="48">
        <v>45826</v>
      </c>
      <c r="C576" t="s">
        <v>1011</v>
      </c>
      <c r="D576" t="s">
        <v>1020</v>
      </c>
      <c r="E576" s="47">
        <v>397</v>
      </c>
      <c r="F576" s="47">
        <v>31</v>
      </c>
      <c r="G576" s="47">
        <v>12307</v>
      </c>
      <c r="H576" s="47" t="s">
        <v>1030</v>
      </c>
      <c r="I576" s="50" t="s">
        <v>1028</v>
      </c>
      <c r="J576" s="48">
        <v>45840</v>
      </c>
      <c r="K576" s="47">
        <f t="shared" si="8"/>
        <v>14</v>
      </c>
    </row>
    <row r="577" spans="1:11" x14ac:dyDescent="0.25">
      <c r="A577" t="s">
        <v>585</v>
      </c>
      <c r="B577" s="48">
        <v>46007</v>
      </c>
      <c r="C577" t="s">
        <v>1013</v>
      </c>
      <c r="D577" t="s">
        <v>1020</v>
      </c>
      <c r="E577" s="47">
        <v>186</v>
      </c>
      <c r="F577" s="47">
        <v>91</v>
      </c>
      <c r="G577" s="47">
        <v>16926</v>
      </c>
      <c r="H577" s="47" t="s">
        <v>1030</v>
      </c>
      <c r="I577" s="50" t="s">
        <v>1026</v>
      </c>
      <c r="J577" s="48" t="s">
        <v>1031</v>
      </c>
      <c r="K577" s="47" t="str">
        <f t="shared" si="8"/>
        <v/>
      </c>
    </row>
    <row r="578" spans="1:11" x14ac:dyDescent="0.25">
      <c r="A578" t="s">
        <v>586</v>
      </c>
      <c r="B578" s="48">
        <v>45758</v>
      </c>
      <c r="C578" t="s">
        <v>1013</v>
      </c>
      <c r="D578" t="s">
        <v>1021</v>
      </c>
      <c r="E578" s="47">
        <v>118</v>
      </c>
      <c r="F578" s="47">
        <v>1823</v>
      </c>
      <c r="G578" s="47">
        <v>215114</v>
      </c>
      <c r="H578" s="47" t="s">
        <v>1025</v>
      </c>
      <c r="I578" s="50" t="s">
        <v>1028</v>
      </c>
      <c r="J578" s="48">
        <v>45770</v>
      </c>
      <c r="K578" s="47">
        <f t="shared" ref="K578:K641" si="9">IF(J578="", "", J578-B578)</f>
        <v>12</v>
      </c>
    </row>
    <row r="579" spans="1:11" x14ac:dyDescent="0.25">
      <c r="A579" t="s">
        <v>587</v>
      </c>
      <c r="B579" s="48">
        <v>45732</v>
      </c>
      <c r="C579" t="s">
        <v>1014</v>
      </c>
      <c r="D579" t="s">
        <v>1021</v>
      </c>
      <c r="E579" s="47">
        <v>118</v>
      </c>
      <c r="F579" s="47">
        <v>1241</v>
      </c>
      <c r="G579" s="47">
        <v>146438</v>
      </c>
      <c r="H579" s="47" t="s">
        <v>1025</v>
      </c>
      <c r="I579" s="50" t="s">
        <v>1026</v>
      </c>
      <c r="J579" s="48" t="s">
        <v>1031</v>
      </c>
      <c r="K579" s="47" t="str">
        <f t="shared" si="9"/>
        <v/>
      </c>
    </row>
    <row r="580" spans="1:11" x14ac:dyDescent="0.25">
      <c r="A580" t="s">
        <v>588</v>
      </c>
      <c r="B580" s="48">
        <v>46027</v>
      </c>
      <c r="C580" t="s">
        <v>1011</v>
      </c>
      <c r="D580" t="s">
        <v>1018</v>
      </c>
      <c r="E580" s="47">
        <v>40</v>
      </c>
      <c r="F580" s="47">
        <v>323</v>
      </c>
      <c r="G580" s="47">
        <v>12920</v>
      </c>
      <c r="H580" s="47" t="s">
        <v>1025</v>
      </c>
      <c r="I580" s="50" t="s">
        <v>1029</v>
      </c>
      <c r="J580" s="48" t="s">
        <v>1031</v>
      </c>
      <c r="K580" s="47" t="str">
        <f t="shared" si="9"/>
        <v/>
      </c>
    </row>
    <row r="581" spans="1:11" x14ac:dyDescent="0.25">
      <c r="A581" t="s">
        <v>589</v>
      </c>
      <c r="B581" s="48">
        <v>46012</v>
      </c>
      <c r="C581" t="s">
        <v>1014</v>
      </c>
      <c r="D581" t="s">
        <v>1020</v>
      </c>
      <c r="E581" s="47">
        <v>4</v>
      </c>
      <c r="F581" s="47">
        <v>909</v>
      </c>
      <c r="G581" s="47">
        <v>3636</v>
      </c>
      <c r="H581" s="47" t="s">
        <v>1030</v>
      </c>
      <c r="I581" s="50" t="s">
        <v>1026</v>
      </c>
      <c r="J581" s="48" t="s">
        <v>1031</v>
      </c>
      <c r="K581" s="47" t="str">
        <f t="shared" si="9"/>
        <v/>
      </c>
    </row>
    <row r="582" spans="1:11" x14ac:dyDescent="0.25">
      <c r="A582" t="s">
        <v>590</v>
      </c>
      <c r="B582" s="48">
        <v>45675</v>
      </c>
      <c r="C582" t="s">
        <v>1010</v>
      </c>
      <c r="D582" t="s">
        <v>1020</v>
      </c>
      <c r="E582" s="47">
        <v>432</v>
      </c>
      <c r="F582" s="47">
        <v>510</v>
      </c>
      <c r="G582" s="47">
        <v>220320</v>
      </c>
      <c r="H582" s="47" t="s">
        <v>1027</v>
      </c>
      <c r="I582" s="50" t="s">
        <v>1026</v>
      </c>
      <c r="J582" s="48" t="s">
        <v>1031</v>
      </c>
      <c r="K582" s="47" t="str">
        <f t="shared" si="9"/>
        <v/>
      </c>
    </row>
    <row r="583" spans="1:11" x14ac:dyDescent="0.25">
      <c r="A583" t="s">
        <v>591</v>
      </c>
      <c r="B583" s="48">
        <v>45844</v>
      </c>
      <c r="C583" t="s">
        <v>1010</v>
      </c>
      <c r="D583" t="s">
        <v>1024</v>
      </c>
      <c r="E583" s="47">
        <v>58</v>
      </c>
      <c r="F583" s="47">
        <v>441</v>
      </c>
      <c r="G583" s="47">
        <v>25578</v>
      </c>
      <c r="H583" s="47" t="s">
        <v>1025</v>
      </c>
      <c r="I583" s="50" t="s">
        <v>1026</v>
      </c>
      <c r="J583" s="48" t="s">
        <v>1031</v>
      </c>
      <c r="K583" s="47" t="str">
        <f t="shared" si="9"/>
        <v/>
      </c>
    </row>
    <row r="584" spans="1:11" x14ac:dyDescent="0.25">
      <c r="A584" t="s">
        <v>592</v>
      </c>
      <c r="B584" s="48">
        <v>46012</v>
      </c>
      <c r="C584" t="s">
        <v>1014</v>
      </c>
      <c r="D584" t="s">
        <v>1018</v>
      </c>
      <c r="E584" s="47">
        <v>438</v>
      </c>
      <c r="F584" s="47">
        <v>998</v>
      </c>
      <c r="G584" s="47">
        <v>437124</v>
      </c>
      <c r="H584" s="47" t="s">
        <v>1030</v>
      </c>
      <c r="I584" s="50" t="s">
        <v>1029</v>
      </c>
      <c r="J584" s="48" t="s">
        <v>1031</v>
      </c>
      <c r="K584" s="47" t="str">
        <f t="shared" si="9"/>
        <v/>
      </c>
    </row>
    <row r="585" spans="1:11" x14ac:dyDescent="0.25">
      <c r="A585" t="s">
        <v>593</v>
      </c>
      <c r="B585" s="48">
        <v>45700</v>
      </c>
      <c r="C585" t="s">
        <v>1012</v>
      </c>
      <c r="D585" t="s">
        <v>1016</v>
      </c>
      <c r="E585" s="47">
        <v>497</v>
      </c>
      <c r="F585" s="47">
        <v>349</v>
      </c>
      <c r="G585" s="47">
        <v>173453</v>
      </c>
      <c r="H585" s="47" t="s">
        <v>1030</v>
      </c>
      <c r="I585" s="50" t="s">
        <v>1026</v>
      </c>
      <c r="J585" s="48" t="s">
        <v>1031</v>
      </c>
      <c r="K585" s="47" t="str">
        <f t="shared" si="9"/>
        <v/>
      </c>
    </row>
    <row r="586" spans="1:11" x14ac:dyDescent="0.25">
      <c r="A586" t="s">
        <v>594</v>
      </c>
      <c r="B586" s="48">
        <v>45820</v>
      </c>
      <c r="C586" t="s">
        <v>1012</v>
      </c>
      <c r="D586" t="s">
        <v>1019</v>
      </c>
      <c r="E586" s="47">
        <v>81</v>
      </c>
      <c r="F586" s="47">
        <v>59</v>
      </c>
      <c r="G586" s="47">
        <v>4779</v>
      </c>
      <c r="H586" s="47" t="s">
        <v>1027</v>
      </c>
      <c r="I586" s="50" t="s">
        <v>1026</v>
      </c>
      <c r="J586" s="48" t="s">
        <v>1031</v>
      </c>
      <c r="K586" s="47" t="str">
        <f t="shared" si="9"/>
        <v/>
      </c>
    </row>
    <row r="587" spans="1:11" x14ac:dyDescent="0.25">
      <c r="A587" t="s">
        <v>595</v>
      </c>
      <c r="B587" s="48">
        <v>45704</v>
      </c>
      <c r="C587" t="s">
        <v>1013</v>
      </c>
      <c r="D587" t="s">
        <v>1018</v>
      </c>
      <c r="E587" s="47">
        <v>307</v>
      </c>
      <c r="F587" s="47">
        <v>638</v>
      </c>
      <c r="G587" s="47">
        <v>195866</v>
      </c>
      <c r="H587" s="47" t="s">
        <v>1025</v>
      </c>
      <c r="I587" s="50" t="s">
        <v>1028</v>
      </c>
      <c r="J587" s="48">
        <v>45717</v>
      </c>
      <c r="K587" s="47">
        <f t="shared" si="9"/>
        <v>13</v>
      </c>
    </row>
    <row r="588" spans="1:11" x14ac:dyDescent="0.25">
      <c r="A588" t="s">
        <v>596</v>
      </c>
      <c r="B588" s="48">
        <v>45691</v>
      </c>
      <c r="C588" t="s">
        <v>1012</v>
      </c>
      <c r="D588" t="s">
        <v>1017</v>
      </c>
      <c r="E588" s="47">
        <v>300</v>
      </c>
      <c r="F588" s="47">
        <v>339</v>
      </c>
      <c r="G588" s="47">
        <v>101700</v>
      </c>
      <c r="H588" s="47" t="s">
        <v>1025</v>
      </c>
      <c r="I588" s="50" t="s">
        <v>1028</v>
      </c>
      <c r="J588" s="48">
        <v>45704</v>
      </c>
      <c r="K588" s="47">
        <f t="shared" si="9"/>
        <v>13</v>
      </c>
    </row>
    <row r="589" spans="1:11" x14ac:dyDescent="0.25">
      <c r="A589" t="s">
        <v>597</v>
      </c>
      <c r="B589" s="48">
        <v>45819</v>
      </c>
      <c r="C589" t="s">
        <v>1011</v>
      </c>
      <c r="D589" t="s">
        <v>1024</v>
      </c>
      <c r="E589" s="47">
        <v>482</v>
      </c>
      <c r="F589" s="47">
        <v>1493</v>
      </c>
      <c r="G589" s="47">
        <v>719626</v>
      </c>
      <c r="H589" s="47" t="s">
        <v>1027</v>
      </c>
      <c r="I589" s="50" t="s">
        <v>1028</v>
      </c>
      <c r="J589" s="48">
        <v>45827</v>
      </c>
      <c r="K589" s="47">
        <f t="shared" si="9"/>
        <v>8</v>
      </c>
    </row>
    <row r="590" spans="1:11" x14ac:dyDescent="0.25">
      <c r="A590" t="s">
        <v>598</v>
      </c>
      <c r="B590" s="48">
        <v>45708</v>
      </c>
      <c r="C590" t="s">
        <v>1014</v>
      </c>
      <c r="D590" t="s">
        <v>1022</v>
      </c>
      <c r="E590" s="47">
        <v>125</v>
      </c>
      <c r="F590" s="47">
        <v>1123</v>
      </c>
      <c r="G590" s="47">
        <v>140375</v>
      </c>
      <c r="H590" s="47" t="s">
        <v>1025</v>
      </c>
      <c r="I590" s="50" t="s">
        <v>1029</v>
      </c>
      <c r="J590" s="48" t="s">
        <v>1031</v>
      </c>
      <c r="K590" s="47" t="str">
        <f t="shared" si="9"/>
        <v/>
      </c>
    </row>
    <row r="591" spans="1:11" x14ac:dyDescent="0.25">
      <c r="A591" t="s">
        <v>599</v>
      </c>
      <c r="B591" s="48">
        <v>45990</v>
      </c>
      <c r="C591" t="s">
        <v>1012</v>
      </c>
      <c r="D591" t="s">
        <v>1018</v>
      </c>
      <c r="E591" s="47">
        <v>276</v>
      </c>
      <c r="F591" s="47">
        <v>885</v>
      </c>
      <c r="G591" s="47">
        <v>244260</v>
      </c>
      <c r="H591" s="47" t="s">
        <v>1025</v>
      </c>
      <c r="I591" s="50" t="s">
        <v>1028</v>
      </c>
      <c r="J591" s="48">
        <v>46004</v>
      </c>
      <c r="K591" s="47">
        <f t="shared" si="9"/>
        <v>14</v>
      </c>
    </row>
    <row r="592" spans="1:11" x14ac:dyDescent="0.25">
      <c r="A592" t="s">
        <v>600</v>
      </c>
      <c r="B592" s="48">
        <v>45813</v>
      </c>
      <c r="C592" t="s">
        <v>1013</v>
      </c>
      <c r="D592" t="s">
        <v>1024</v>
      </c>
      <c r="E592" s="47">
        <v>173</v>
      </c>
      <c r="F592" s="47">
        <v>1457</v>
      </c>
      <c r="G592" s="47">
        <v>252061</v>
      </c>
      <c r="H592" s="47" t="s">
        <v>1030</v>
      </c>
      <c r="I592" s="50" t="s">
        <v>1029</v>
      </c>
      <c r="J592" s="48" t="s">
        <v>1031</v>
      </c>
      <c r="K592" s="47" t="str">
        <f t="shared" si="9"/>
        <v/>
      </c>
    </row>
    <row r="593" spans="1:11" x14ac:dyDescent="0.25">
      <c r="A593" t="s">
        <v>601</v>
      </c>
      <c r="B593" s="48">
        <v>45960</v>
      </c>
      <c r="C593" t="s">
        <v>1014</v>
      </c>
      <c r="D593" t="s">
        <v>1018</v>
      </c>
      <c r="E593" s="47">
        <v>165</v>
      </c>
      <c r="F593" s="47">
        <v>1868</v>
      </c>
      <c r="G593" s="47">
        <v>308220</v>
      </c>
      <c r="H593" s="47" t="s">
        <v>1025</v>
      </c>
      <c r="I593" s="50" t="s">
        <v>1029</v>
      </c>
      <c r="J593" s="48" t="s">
        <v>1031</v>
      </c>
      <c r="K593" s="47" t="str">
        <f t="shared" si="9"/>
        <v/>
      </c>
    </row>
    <row r="594" spans="1:11" x14ac:dyDescent="0.25">
      <c r="A594" t="s">
        <v>602</v>
      </c>
      <c r="B594" s="48">
        <v>45909</v>
      </c>
      <c r="C594" t="s">
        <v>1010</v>
      </c>
      <c r="D594" t="s">
        <v>1016</v>
      </c>
      <c r="E594" s="47">
        <v>95</v>
      </c>
      <c r="F594" s="47">
        <v>82</v>
      </c>
      <c r="G594" s="47">
        <v>7790</v>
      </c>
      <c r="H594" s="47" t="s">
        <v>1027</v>
      </c>
      <c r="I594" s="50" t="s">
        <v>1026</v>
      </c>
      <c r="J594" s="48" t="s">
        <v>1031</v>
      </c>
      <c r="K594" s="47" t="str">
        <f t="shared" si="9"/>
        <v/>
      </c>
    </row>
    <row r="595" spans="1:11" x14ac:dyDescent="0.25">
      <c r="A595" t="s">
        <v>603</v>
      </c>
      <c r="B595" s="48">
        <v>45719</v>
      </c>
      <c r="C595" t="s">
        <v>1011</v>
      </c>
      <c r="D595" t="s">
        <v>1021</v>
      </c>
      <c r="E595" s="47">
        <v>473</v>
      </c>
      <c r="F595" s="47">
        <v>195</v>
      </c>
      <c r="G595" s="47">
        <v>92235</v>
      </c>
      <c r="H595" s="47" t="s">
        <v>1027</v>
      </c>
      <c r="I595" s="50" t="s">
        <v>1026</v>
      </c>
      <c r="J595" s="48" t="s">
        <v>1031</v>
      </c>
      <c r="K595" s="47" t="str">
        <f t="shared" si="9"/>
        <v/>
      </c>
    </row>
    <row r="596" spans="1:11" x14ac:dyDescent="0.25">
      <c r="A596" t="s">
        <v>604</v>
      </c>
      <c r="B596" s="48">
        <v>45880</v>
      </c>
      <c r="C596" t="s">
        <v>1014</v>
      </c>
      <c r="D596" t="s">
        <v>1016</v>
      </c>
      <c r="E596" s="47">
        <v>498</v>
      </c>
      <c r="F596" s="47">
        <v>249</v>
      </c>
      <c r="G596" s="47">
        <v>124002</v>
      </c>
      <c r="H596" s="47" t="s">
        <v>1027</v>
      </c>
      <c r="I596" s="50" t="s">
        <v>1029</v>
      </c>
      <c r="J596" s="48" t="s">
        <v>1031</v>
      </c>
      <c r="K596" s="47" t="str">
        <f t="shared" si="9"/>
        <v/>
      </c>
    </row>
    <row r="597" spans="1:11" x14ac:dyDescent="0.25">
      <c r="A597" t="s">
        <v>605</v>
      </c>
      <c r="B597" s="48">
        <v>45942</v>
      </c>
      <c r="C597" t="s">
        <v>1014</v>
      </c>
      <c r="D597" t="s">
        <v>1024</v>
      </c>
      <c r="E597" s="47">
        <v>234</v>
      </c>
      <c r="F597" s="47">
        <v>859</v>
      </c>
      <c r="G597" s="47">
        <v>201006</v>
      </c>
      <c r="H597" s="47" t="s">
        <v>1025</v>
      </c>
      <c r="I597" s="50" t="s">
        <v>1026</v>
      </c>
      <c r="J597" s="48" t="s">
        <v>1031</v>
      </c>
      <c r="K597" s="47" t="str">
        <f t="shared" si="9"/>
        <v/>
      </c>
    </row>
    <row r="598" spans="1:11" x14ac:dyDescent="0.25">
      <c r="A598" t="s">
        <v>606</v>
      </c>
      <c r="B598" s="48">
        <v>45759</v>
      </c>
      <c r="C598" t="s">
        <v>1010</v>
      </c>
      <c r="D598" t="s">
        <v>1020</v>
      </c>
      <c r="E598" s="47">
        <v>324</v>
      </c>
      <c r="F598" s="47">
        <v>386</v>
      </c>
      <c r="G598" s="47">
        <v>125064</v>
      </c>
      <c r="H598" s="47" t="s">
        <v>1030</v>
      </c>
      <c r="I598" s="50" t="s">
        <v>1026</v>
      </c>
      <c r="J598" s="48" t="s">
        <v>1031</v>
      </c>
      <c r="K598" s="47" t="str">
        <f t="shared" si="9"/>
        <v/>
      </c>
    </row>
    <row r="599" spans="1:11" x14ac:dyDescent="0.25">
      <c r="A599" t="s">
        <v>607</v>
      </c>
      <c r="B599" s="48">
        <v>45985</v>
      </c>
      <c r="C599" t="s">
        <v>1014</v>
      </c>
      <c r="D599" t="s">
        <v>1024</v>
      </c>
      <c r="E599" s="47">
        <v>70</v>
      </c>
      <c r="F599" s="47">
        <v>1235</v>
      </c>
      <c r="G599" s="47">
        <v>86450</v>
      </c>
      <c r="H599" s="47" t="s">
        <v>1030</v>
      </c>
      <c r="I599" s="50" t="s">
        <v>1026</v>
      </c>
      <c r="J599" s="48" t="s">
        <v>1031</v>
      </c>
      <c r="K599" s="47" t="str">
        <f t="shared" si="9"/>
        <v/>
      </c>
    </row>
    <row r="600" spans="1:11" x14ac:dyDescent="0.25">
      <c r="A600" t="s">
        <v>608</v>
      </c>
      <c r="B600" s="48">
        <v>46028</v>
      </c>
      <c r="C600" t="s">
        <v>1014</v>
      </c>
      <c r="D600" t="s">
        <v>1016</v>
      </c>
      <c r="E600" s="47">
        <v>392</v>
      </c>
      <c r="F600" s="47">
        <v>431</v>
      </c>
      <c r="G600" s="47">
        <v>168952</v>
      </c>
      <c r="H600" s="47" t="s">
        <v>1030</v>
      </c>
      <c r="I600" s="50" t="s">
        <v>1028</v>
      </c>
      <c r="J600" s="48">
        <v>46041</v>
      </c>
      <c r="K600" s="47">
        <f t="shared" si="9"/>
        <v>13</v>
      </c>
    </row>
    <row r="601" spans="1:11" x14ac:dyDescent="0.25">
      <c r="A601" t="s">
        <v>609</v>
      </c>
      <c r="B601" s="48">
        <v>45761</v>
      </c>
      <c r="C601" t="s">
        <v>1011</v>
      </c>
      <c r="D601" t="s">
        <v>1016</v>
      </c>
      <c r="E601" s="47">
        <v>343</v>
      </c>
      <c r="F601" s="47">
        <v>733</v>
      </c>
      <c r="G601" s="47">
        <v>251419</v>
      </c>
      <c r="H601" s="47" t="s">
        <v>1027</v>
      </c>
      <c r="I601" s="50" t="s">
        <v>1028</v>
      </c>
      <c r="J601" s="48">
        <v>45766</v>
      </c>
      <c r="K601" s="47">
        <f t="shared" si="9"/>
        <v>5</v>
      </c>
    </row>
    <row r="602" spans="1:11" x14ac:dyDescent="0.25">
      <c r="A602" t="s">
        <v>610</v>
      </c>
      <c r="B602" s="48">
        <v>45856</v>
      </c>
      <c r="C602" t="s">
        <v>1013</v>
      </c>
      <c r="D602" t="s">
        <v>1024</v>
      </c>
      <c r="E602" s="47">
        <v>209</v>
      </c>
      <c r="F602" s="47">
        <v>296</v>
      </c>
      <c r="G602" s="47">
        <v>61864</v>
      </c>
      <c r="H602" s="47" t="s">
        <v>1025</v>
      </c>
      <c r="I602" s="50" t="s">
        <v>1026</v>
      </c>
      <c r="J602" s="48" t="s">
        <v>1031</v>
      </c>
      <c r="K602" s="47" t="str">
        <f t="shared" si="9"/>
        <v/>
      </c>
    </row>
    <row r="603" spans="1:11" x14ac:dyDescent="0.25">
      <c r="A603" t="s">
        <v>611</v>
      </c>
      <c r="B603" s="48">
        <v>45755</v>
      </c>
      <c r="C603" t="s">
        <v>1013</v>
      </c>
      <c r="D603" t="s">
        <v>1017</v>
      </c>
      <c r="E603" s="47">
        <v>212</v>
      </c>
      <c r="F603" s="47">
        <v>1562</v>
      </c>
      <c r="G603" s="47">
        <v>331144</v>
      </c>
      <c r="H603" s="47" t="s">
        <v>1027</v>
      </c>
      <c r="I603" s="50" t="s">
        <v>1028</v>
      </c>
      <c r="J603" s="48">
        <v>45766</v>
      </c>
      <c r="K603" s="47">
        <f t="shared" si="9"/>
        <v>11</v>
      </c>
    </row>
    <row r="604" spans="1:11" x14ac:dyDescent="0.25">
      <c r="A604" t="s">
        <v>612</v>
      </c>
      <c r="B604" s="48">
        <v>45859</v>
      </c>
      <c r="C604" t="s">
        <v>1012</v>
      </c>
      <c r="D604" t="s">
        <v>1015</v>
      </c>
      <c r="E604" s="47">
        <v>430</v>
      </c>
      <c r="F604" s="47">
        <v>324</v>
      </c>
      <c r="G604" s="47">
        <v>139320</v>
      </c>
      <c r="H604" s="47" t="s">
        <v>1025</v>
      </c>
      <c r="I604" s="50" t="s">
        <v>1026</v>
      </c>
      <c r="J604" s="48" t="s">
        <v>1031</v>
      </c>
      <c r="K604" s="47" t="str">
        <f t="shared" si="9"/>
        <v/>
      </c>
    </row>
    <row r="605" spans="1:11" x14ac:dyDescent="0.25">
      <c r="A605" t="s">
        <v>613</v>
      </c>
      <c r="B605" s="48">
        <v>45875</v>
      </c>
      <c r="C605" t="s">
        <v>1013</v>
      </c>
      <c r="D605" t="s">
        <v>1018</v>
      </c>
      <c r="E605" s="47">
        <v>35</v>
      </c>
      <c r="F605" s="47">
        <v>1907</v>
      </c>
      <c r="G605" s="47">
        <v>66745</v>
      </c>
      <c r="H605" s="47" t="s">
        <v>1025</v>
      </c>
      <c r="I605" s="50" t="s">
        <v>1026</v>
      </c>
      <c r="J605" s="48" t="s">
        <v>1031</v>
      </c>
      <c r="K605" s="47" t="str">
        <f t="shared" si="9"/>
        <v/>
      </c>
    </row>
    <row r="606" spans="1:11" x14ac:dyDescent="0.25">
      <c r="A606" t="s">
        <v>614</v>
      </c>
      <c r="B606" s="48">
        <v>45803</v>
      </c>
      <c r="C606" t="s">
        <v>1010</v>
      </c>
      <c r="D606" t="s">
        <v>1016</v>
      </c>
      <c r="E606" s="47">
        <v>489</v>
      </c>
      <c r="F606" s="47">
        <v>219</v>
      </c>
      <c r="G606" s="47">
        <v>107091</v>
      </c>
      <c r="H606" s="47" t="s">
        <v>1030</v>
      </c>
      <c r="I606" s="50" t="s">
        <v>1029</v>
      </c>
      <c r="J606" s="48" t="s">
        <v>1031</v>
      </c>
      <c r="K606" s="47" t="str">
        <f t="shared" si="9"/>
        <v/>
      </c>
    </row>
    <row r="607" spans="1:11" x14ac:dyDescent="0.25">
      <c r="A607" t="s">
        <v>615</v>
      </c>
      <c r="B607" s="48">
        <v>45730</v>
      </c>
      <c r="C607" t="s">
        <v>1010</v>
      </c>
      <c r="D607" t="s">
        <v>1016</v>
      </c>
      <c r="E607" s="47">
        <v>455</v>
      </c>
      <c r="F607" s="47">
        <v>1817</v>
      </c>
      <c r="G607" s="47">
        <v>826735</v>
      </c>
      <c r="H607" s="47" t="s">
        <v>1030</v>
      </c>
      <c r="I607" s="50" t="s">
        <v>1029</v>
      </c>
      <c r="J607" s="48" t="s">
        <v>1031</v>
      </c>
      <c r="K607" s="47" t="str">
        <f t="shared" si="9"/>
        <v/>
      </c>
    </row>
    <row r="608" spans="1:11" x14ac:dyDescent="0.25">
      <c r="A608" t="s">
        <v>616</v>
      </c>
      <c r="B608" s="48">
        <v>45804</v>
      </c>
      <c r="C608" t="s">
        <v>1013</v>
      </c>
      <c r="D608" t="s">
        <v>1024</v>
      </c>
      <c r="E608" s="47">
        <v>225</v>
      </c>
      <c r="F608" s="47">
        <v>1865</v>
      </c>
      <c r="G608" s="47">
        <v>419625</v>
      </c>
      <c r="H608" s="47" t="s">
        <v>1027</v>
      </c>
      <c r="I608" s="50" t="s">
        <v>1026</v>
      </c>
      <c r="J608" s="48" t="s">
        <v>1031</v>
      </c>
      <c r="K608" s="47" t="str">
        <f t="shared" si="9"/>
        <v/>
      </c>
    </row>
    <row r="609" spans="1:11" x14ac:dyDescent="0.25">
      <c r="A609" t="s">
        <v>617</v>
      </c>
      <c r="B609" s="48">
        <v>45897</v>
      </c>
      <c r="C609" t="s">
        <v>1011</v>
      </c>
      <c r="D609" t="s">
        <v>1020</v>
      </c>
      <c r="E609" s="47">
        <v>367</v>
      </c>
      <c r="F609" s="47">
        <v>1723</v>
      </c>
      <c r="G609" s="47">
        <v>632341</v>
      </c>
      <c r="H609" s="47" t="s">
        <v>1030</v>
      </c>
      <c r="I609" s="50" t="s">
        <v>1029</v>
      </c>
      <c r="J609" s="48" t="s">
        <v>1031</v>
      </c>
      <c r="K609" s="47" t="str">
        <f t="shared" si="9"/>
        <v/>
      </c>
    </row>
    <row r="610" spans="1:11" x14ac:dyDescent="0.25">
      <c r="A610" t="s">
        <v>618</v>
      </c>
      <c r="B610" s="48">
        <v>46043</v>
      </c>
      <c r="C610" t="s">
        <v>1011</v>
      </c>
      <c r="D610" t="s">
        <v>1016</v>
      </c>
      <c r="E610" s="47">
        <v>47</v>
      </c>
      <c r="F610" s="47">
        <v>1115</v>
      </c>
      <c r="G610" s="47">
        <v>52405</v>
      </c>
      <c r="H610" s="47" t="s">
        <v>1030</v>
      </c>
      <c r="I610" s="50" t="s">
        <v>1026</v>
      </c>
      <c r="J610" s="48" t="s">
        <v>1031</v>
      </c>
      <c r="K610" s="47" t="str">
        <f t="shared" si="9"/>
        <v/>
      </c>
    </row>
    <row r="611" spans="1:11" x14ac:dyDescent="0.25">
      <c r="A611" t="s">
        <v>619</v>
      </c>
      <c r="B611" s="48">
        <v>45975</v>
      </c>
      <c r="C611" t="s">
        <v>1012</v>
      </c>
      <c r="D611" t="s">
        <v>1024</v>
      </c>
      <c r="E611" s="47">
        <v>114</v>
      </c>
      <c r="F611" s="47">
        <v>777</v>
      </c>
      <c r="G611" s="47">
        <v>88578</v>
      </c>
      <c r="H611" s="47" t="s">
        <v>1027</v>
      </c>
      <c r="I611" s="50" t="s">
        <v>1028</v>
      </c>
      <c r="J611" s="48">
        <v>45985</v>
      </c>
      <c r="K611" s="47">
        <f t="shared" si="9"/>
        <v>10</v>
      </c>
    </row>
    <row r="612" spans="1:11" x14ac:dyDescent="0.25">
      <c r="A612" t="s">
        <v>620</v>
      </c>
      <c r="B612" s="48">
        <v>46039</v>
      </c>
      <c r="C612" t="s">
        <v>1013</v>
      </c>
      <c r="D612" t="s">
        <v>1024</v>
      </c>
      <c r="E612" s="47">
        <v>218</v>
      </c>
      <c r="F612" s="47">
        <v>82</v>
      </c>
      <c r="G612" s="47">
        <v>17876</v>
      </c>
      <c r="H612" s="47" t="s">
        <v>1025</v>
      </c>
      <c r="I612" s="50" t="s">
        <v>1028</v>
      </c>
      <c r="J612" s="48">
        <v>46053</v>
      </c>
      <c r="K612" s="47">
        <f t="shared" si="9"/>
        <v>14</v>
      </c>
    </row>
    <row r="613" spans="1:11" x14ac:dyDescent="0.25">
      <c r="A613" t="s">
        <v>621</v>
      </c>
      <c r="B613" s="48">
        <v>45863</v>
      </c>
      <c r="C613" t="s">
        <v>1014</v>
      </c>
      <c r="D613" t="s">
        <v>1020</v>
      </c>
      <c r="E613" s="47">
        <v>259</v>
      </c>
      <c r="F613" s="47">
        <v>1572</v>
      </c>
      <c r="G613" s="47">
        <v>407148</v>
      </c>
      <c r="H613" s="47" t="s">
        <v>1025</v>
      </c>
      <c r="I613" s="50" t="s">
        <v>1028</v>
      </c>
      <c r="J613" s="48">
        <v>45872</v>
      </c>
      <c r="K613" s="47">
        <f t="shared" si="9"/>
        <v>9</v>
      </c>
    </row>
    <row r="614" spans="1:11" x14ac:dyDescent="0.25">
      <c r="A614" t="s">
        <v>622</v>
      </c>
      <c r="B614" s="48">
        <v>45791</v>
      </c>
      <c r="C614" t="s">
        <v>1013</v>
      </c>
      <c r="D614" t="s">
        <v>1016</v>
      </c>
      <c r="E614" s="47">
        <v>54</v>
      </c>
      <c r="F614" s="47">
        <v>1286</v>
      </c>
      <c r="G614" s="47">
        <v>69444</v>
      </c>
      <c r="H614" s="47" t="s">
        <v>1027</v>
      </c>
      <c r="I614" s="50" t="s">
        <v>1026</v>
      </c>
      <c r="J614" s="48" t="s">
        <v>1031</v>
      </c>
      <c r="K614" s="47" t="str">
        <f t="shared" si="9"/>
        <v/>
      </c>
    </row>
    <row r="615" spans="1:11" x14ac:dyDescent="0.25">
      <c r="A615" t="s">
        <v>623</v>
      </c>
      <c r="B615" s="48">
        <v>45714</v>
      </c>
      <c r="C615" t="s">
        <v>1013</v>
      </c>
      <c r="D615" t="s">
        <v>1015</v>
      </c>
      <c r="E615" s="47">
        <v>201</v>
      </c>
      <c r="F615" s="47">
        <v>1792</v>
      </c>
      <c r="G615" s="47">
        <v>360192</v>
      </c>
      <c r="H615" s="47" t="s">
        <v>1030</v>
      </c>
      <c r="I615" s="50" t="s">
        <v>1029</v>
      </c>
      <c r="J615" s="48" t="s">
        <v>1031</v>
      </c>
      <c r="K615" s="47" t="str">
        <f t="shared" si="9"/>
        <v/>
      </c>
    </row>
    <row r="616" spans="1:11" x14ac:dyDescent="0.25">
      <c r="A616" t="s">
        <v>624</v>
      </c>
      <c r="B616" s="48">
        <v>45795</v>
      </c>
      <c r="C616" t="s">
        <v>1012</v>
      </c>
      <c r="D616" t="s">
        <v>1023</v>
      </c>
      <c r="E616" s="47">
        <v>29</v>
      </c>
      <c r="F616" s="47">
        <v>1053</v>
      </c>
      <c r="G616" s="47">
        <v>30537</v>
      </c>
      <c r="H616" s="47" t="s">
        <v>1030</v>
      </c>
      <c r="I616" s="50" t="s">
        <v>1026</v>
      </c>
      <c r="J616" s="48" t="s">
        <v>1031</v>
      </c>
      <c r="K616" s="47" t="str">
        <f t="shared" si="9"/>
        <v/>
      </c>
    </row>
    <row r="617" spans="1:11" x14ac:dyDescent="0.25">
      <c r="A617" t="s">
        <v>625</v>
      </c>
      <c r="B617" s="48">
        <v>45732</v>
      </c>
      <c r="C617" t="s">
        <v>1013</v>
      </c>
      <c r="D617" t="s">
        <v>1023</v>
      </c>
      <c r="E617" s="47">
        <v>131</v>
      </c>
      <c r="F617" s="47">
        <v>1513</v>
      </c>
      <c r="G617" s="47">
        <v>198203</v>
      </c>
      <c r="H617" s="47" t="s">
        <v>1027</v>
      </c>
      <c r="I617" s="50" t="s">
        <v>1029</v>
      </c>
      <c r="J617" s="48" t="s">
        <v>1031</v>
      </c>
      <c r="K617" s="47" t="str">
        <f t="shared" si="9"/>
        <v/>
      </c>
    </row>
    <row r="618" spans="1:11" x14ac:dyDescent="0.25">
      <c r="A618" t="s">
        <v>626</v>
      </c>
      <c r="B618" s="48">
        <v>45790</v>
      </c>
      <c r="C618" t="s">
        <v>1013</v>
      </c>
      <c r="D618" t="s">
        <v>1022</v>
      </c>
      <c r="E618" s="47">
        <v>484</v>
      </c>
      <c r="F618" s="47">
        <v>1936</v>
      </c>
      <c r="G618" s="47">
        <v>937024</v>
      </c>
      <c r="H618" s="47" t="s">
        <v>1025</v>
      </c>
      <c r="I618" s="50" t="s">
        <v>1028</v>
      </c>
      <c r="J618" s="48">
        <v>45801</v>
      </c>
      <c r="K618" s="47">
        <f t="shared" si="9"/>
        <v>11</v>
      </c>
    </row>
    <row r="619" spans="1:11" x14ac:dyDescent="0.25">
      <c r="A619" t="s">
        <v>627</v>
      </c>
      <c r="B619" s="48">
        <v>45742</v>
      </c>
      <c r="C619" t="s">
        <v>1010</v>
      </c>
      <c r="D619" t="s">
        <v>1022</v>
      </c>
      <c r="E619" s="47">
        <v>150</v>
      </c>
      <c r="F619" s="47">
        <v>850</v>
      </c>
      <c r="G619" s="47">
        <v>127500</v>
      </c>
      <c r="H619" s="47" t="s">
        <v>1030</v>
      </c>
      <c r="I619" s="50" t="s">
        <v>1026</v>
      </c>
      <c r="J619" s="48" t="s">
        <v>1031</v>
      </c>
      <c r="K619" s="47" t="str">
        <f t="shared" si="9"/>
        <v/>
      </c>
    </row>
    <row r="620" spans="1:11" x14ac:dyDescent="0.25">
      <c r="A620" t="s">
        <v>628</v>
      </c>
      <c r="B620" s="48">
        <v>45685</v>
      </c>
      <c r="C620" t="s">
        <v>1013</v>
      </c>
      <c r="D620" t="s">
        <v>1022</v>
      </c>
      <c r="E620" s="47">
        <v>157</v>
      </c>
      <c r="F620" s="47">
        <v>292</v>
      </c>
      <c r="G620" s="47">
        <v>45844</v>
      </c>
      <c r="H620" s="47" t="s">
        <v>1027</v>
      </c>
      <c r="I620" s="50" t="s">
        <v>1028</v>
      </c>
      <c r="J620" s="48">
        <v>45694</v>
      </c>
      <c r="K620" s="47">
        <f t="shared" si="9"/>
        <v>9</v>
      </c>
    </row>
    <row r="621" spans="1:11" x14ac:dyDescent="0.25">
      <c r="A621" t="s">
        <v>629</v>
      </c>
      <c r="B621" s="48">
        <v>45730</v>
      </c>
      <c r="C621" t="s">
        <v>1011</v>
      </c>
      <c r="D621" t="s">
        <v>1018</v>
      </c>
      <c r="E621" s="47">
        <v>85</v>
      </c>
      <c r="F621" s="47">
        <v>152</v>
      </c>
      <c r="G621" s="47">
        <v>12920</v>
      </c>
      <c r="H621" s="47" t="s">
        <v>1027</v>
      </c>
      <c r="I621" s="50" t="s">
        <v>1028</v>
      </c>
      <c r="J621" s="48">
        <v>45737</v>
      </c>
      <c r="K621" s="47">
        <f t="shared" si="9"/>
        <v>7</v>
      </c>
    </row>
    <row r="622" spans="1:11" x14ac:dyDescent="0.25">
      <c r="A622" t="s">
        <v>630</v>
      </c>
      <c r="B622" s="48">
        <v>45952</v>
      </c>
      <c r="C622" t="s">
        <v>1013</v>
      </c>
      <c r="D622" t="s">
        <v>1024</v>
      </c>
      <c r="E622" s="47">
        <v>188</v>
      </c>
      <c r="F622" s="47">
        <v>864</v>
      </c>
      <c r="G622" s="47">
        <v>162432</v>
      </c>
      <c r="H622" s="47" t="s">
        <v>1030</v>
      </c>
      <c r="I622" s="50" t="s">
        <v>1028</v>
      </c>
      <c r="J622" s="48">
        <v>45964</v>
      </c>
      <c r="K622" s="47">
        <f t="shared" si="9"/>
        <v>12</v>
      </c>
    </row>
    <row r="623" spans="1:11" x14ac:dyDescent="0.25">
      <c r="A623" t="s">
        <v>631</v>
      </c>
      <c r="B623" s="48">
        <v>45759</v>
      </c>
      <c r="C623" t="s">
        <v>1010</v>
      </c>
      <c r="D623" t="s">
        <v>1016</v>
      </c>
      <c r="E623" s="47">
        <v>49</v>
      </c>
      <c r="F623" s="47">
        <v>1831</v>
      </c>
      <c r="G623" s="47">
        <v>89719</v>
      </c>
      <c r="H623" s="47" t="s">
        <v>1025</v>
      </c>
      <c r="I623" s="50" t="s">
        <v>1026</v>
      </c>
      <c r="J623" s="48" t="s">
        <v>1031</v>
      </c>
      <c r="K623" s="47" t="str">
        <f t="shared" si="9"/>
        <v/>
      </c>
    </row>
    <row r="624" spans="1:11" x14ac:dyDescent="0.25">
      <c r="A624" t="s">
        <v>632</v>
      </c>
      <c r="B624" s="48">
        <v>45749</v>
      </c>
      <c r="C624" t="s">
        <v>1012</v>
      </c>
      <c r="D624" t="s">
        <v>1022</v>
      </c>
      <c r="E624" s="47">
        <v>45</v>
      </c>
      <c r="F624" s="47">
        <v>1924</v>
      </c>
      <c r="G624" s="47">
        <v>86580</v>
      </c>
      <c r="H624" s="47" t="s">
        <v>1027</v>
      </c>
      <c r="I624" s="50" t="s">
        <v>1029</v>
      </c>
      <c r="J624" s="48" t="s">
        <v>1031</v>
      </c>
      <c r="K624" s="47" t="str">
        <f t="shared" si="9"/>
        <v/>
      </c>
    </row>
    <row r="625" spans="1:11" x14ac:dyDescent="0.25">
      <c r="A625" t="s">
        <v>633</v>
      </c>
      <c r="B625" s="48">
        <v>45937</v>
      </c>
      <c r="C625" t="s">
        <v>1014</v>
      </c>
      <c r="D625" t="s">
        <v>1019</v>
      </c>
      <c r="E625" s="47">
        <v>162</v>
      </c>
      <c r="F625" s="47">
        <v>901</v>
      </c>
      <c r="G625" s="47">
        <v>145962</v>
      </c>
      <c r="H625" s="47" t="s">
        <v>1027</v>
      </c>
      <c r="I625" s="50" t="s">
        <v>1026</v>
      </c>
      <c r="J625" s="48" t="s">
        <v>1031</v>
      </c>
      <c r="K625" s="47" t="str">
        <f t="shared" si="9"/>
        <v/>
      </c>
    </row>
    <row r="626" spans="1:11" x14ac:dyDescent="0.25">
      <c r="A626" t="s">
        <v>634</v>
      </c>
      <c r="B626" s="48">
        <v>45784</v>
      </c>
      <c r="C626" t="s">
        <v>1010</v>
      </c>
      <c r="D626" t="s">
        <v>1015</v>
      </c>
      <c r="E626" s="47">
        <v>40</v>
      </c>
      <c r="F626" s="47">
        <v>1373</v>
      </c>
      <c r="G626" s="47">
        <v>54920</v>
      </c>
      <c r="H626" s="47" t="s">
        <v>1027</v>
      </c>
      <c r="I626" s="50" t="s">
        <v>1028</v>
      </c>
      <c r="J626" s="48">
        <v>45793</v>
      </c>
      <c r="K626" s="47">
        <f t="shared" si="9"/>
        <v>9</v>
      </c>
    </row>
    <row r="627" spans="1:11" x14ac:dyDescent="0.25">
      <c r="A627" t="s">
        <v>635</v>
      </c>
      <c r="B627" s="48">
        <v>45924</v>
      </c>
      <c r="C627" t="s">
        <v>1010</v>
      </c>
      <c r="D627" t="s">
        <v>1018</v>
      </c>
      <c r="E627" s="47">
        <v>414</v>
      </c>
      <c r="F627" s="47">
        <v>1310</v>
      </c>
      <c r="G627" s="47">
        <v>542340</v>
      </c>
      <c r="H627" s="47" t="s">
        <v>1027</v>
      </c>
      <c r="I627" s="50" t="s">
        <v>1028</v>
      </c>
      <c r="J627" s="48">
        <v>45934</v>
      </c>
      <c r="K627" s="47">
        <f t="shared" si="9"/>
        <v>10</v>
      </c>
    </row>
    <row r="628" spans="1:11" x14ac:dyDescent="0.25">
      <c r="A628" t="s">
        <v>636</v>
      </c>
      <c r="B628" s="48">
        <v>45830</v>
      </c>
      <c r="C628" t="s">
        <v>1010</v>
      </c>
      <c r="D628" t="s">
        <v>1023</v>
      </c>
      <c r="E628" s="47">
        <v>481</v>
      </c>
      <c r="F628" s="47">
        <v>1924</v>
      </c>
      <c r="G628" s="47">
        <v>925444</v>
      </c>
      <c r="H628" s="47" t="s">
        <v>1025</v>
      </c>
      <c r="I628" s="50" t="s">
        <v>1026</v>
      </c>
      <c r="J628" s="48" t="s">
        <v>1031</v>
      </c>
      <c r="K628" s="47" t="str">
        <f t="shared" si="9"/>
        <v/>
      </c>
    </row>
    <row r="629" spans="1:11" x14ac:dyDescent="0.25">
      <c r="A629" t="s">
        <v>637</v>
      </c>
      <c r="B629" s="48">
        <v>45693</v>
      </c>
      <c r="C629" t="s">
        <v>1013</v>
      </c>
      <c r="D629" t="s">
        <v>1023</v>
      </c>
      <c r="E629" s="47">
        <v>45</v>
      </c>
      <c r="F629" s="47">
        <v>385</v>
      </c>
      <c r="G629" s="47">
        <v>17325</v>
      </c>
      <c r="H629" s="47" t="s">
        <v>1025</v>
      </c>
      <c r="I629" s="50" t="s">
        <v>1028</v>
      </c>
      <c r="J629" s="48">
        <v>45708</v>
      </c>
      <c r="K629" s="47">
        <f t="shared" si="9"/>
        <v>15</v>
      </c>
    </row>
    <row r="630" spans="1:11" x14ac:dyDescent="0.25">
      <c r="A630" t="s">
        <v>638</v>
      </c>
      <c r="B630" s="48">
        <v>45985</v>
      </c>
      <c r="C630" t="s">
        <v>1013</v>
      </c>
      <c r="D630" t="s">
        <v>1015</v>
      </c>
      <c r="E630" s="47">
        <v>74</v>
      </c>
      <c r="F630" s="47">
        <v>942</v>
      </c>
      <c r="G630" s="47">
        <v>69708</v>
      </c>
      <c r="H630" s="47" t="s">
        <v>1027</v>
      </c>
      <c r="I630" s="50" t="s">
        <v>1029</v>
      </c>
      <c r="J630" s="48" t="s">
        <v>1031</v>
      </c>
      <c r="K630" s="47" t="str">
        <f t="shared" si="9"/>
        <v/>
      </c>
    </row>
    <row r="631" spans="1:11" x14ac:dyDescent="0.25">
      <c r="A631" t="s">
        <v>639</v>
      </c>
      <c r="B631" s="48">
        <v>45880</v>
      </c>
      <c r="C631" t="s">
        <v>1011</v>
      </c>
      <c r="D631" t="s">
        <v>1017</v>
      </c>
      <c r="E631" s="47">
        <v>88</v>
      </c>
      <c r="F631" s="47">
        <v>1141</v>
      </c>
      <c r="G631" s="47">
        <v>100408</v>
      </c>
      <c r="H631" s="47" t="s">
        <v>1025</v>
      </c>
      <c r="I631" s="50" t="s">
        <v>1029</v>
      </c>
      <c r="J631" s="48" t="s">
        <v>1031</v>
      </c>
      <c r="K631" s="47" t="str">
        <f t="shared" si="9"/>
        <v/>
      </c>
    </row>
    <row r="632" spans="1:11" x14ac:dyDescent="0.25">
      <c r="A632" t="s">
        <v>640</v>
      </c>
      <c r="B632" s="48">
        <v>45796</v>
      </c>
      <c r="C632" t="s">
        <v>1012</v>
      </c>
      <c r="D632" t="s">
        <v>1024</v>
      </c>
      <c r="E632" s="47">
        <v>123</v>
      </c>
      <c r="F632" s="47">
        <v>414</v>
      </c>
      <c r="G632" s="47">
        <v>50922</v>
      </c>
      <c r="H632" s="47" t="s">
        <v>1027</v>
      </c>
      <c r="I632" s="50" t="s">
        <v>1029</v>
      </c>
      <c r="J632" s="48" t="s">
        <v>1031</v>
      </c>
      <c r="K632" s="47" t="str">
        <f t="shared" si="9"/>
        <v/>
      </c>
    </row>
    <row r="633" spans="1:11" x14ac:dyDescent="0.25">
      <c r="A633" t="s">
        <v>641</v>
      </c>
      <c r="B633" s="48">
        <v>45860</v>
      </c>
      <c r="C633" t="s">
        <v>1013</v>
      </c>
      <c r="D633" t="s">
        <v>1018</v>
      </c>
      <c r="E633" s="47">
        <v>53</v>
      </c>
      <c r="F633" s="47">
        <v>1749</v>
      </c>
      <c r="G633" s="47">
        <v>92697</v>
      </c>
      <c r="H633" s="47" t="s">
        <v>1027</v>
      </c>
      <c r="I633" s="50" t="s">
        <v>1026</v>
      </c>
      <c r="J633" s="48" t="s">
        <v>1031</v>
      </c>
      <c r="K633" s="47" t="str">
        <f t="shared" si="9"/>
        <v/>
      </c>
    </row>
    <row r="634" spans="1:11" x14ac:dyDescent="0.25">
      <c r="A634" t="s">
        <v>642</v>
      </c>
      <c r="B634" s="48">
        <v>45744</v>
      </c>
      <c r="C634" t="s">
        <v>1010</v>
      </c>
      <c r="D634" t="s">
        <v>1017</v>
      </c>
      <c r="E634" s="47">
        <v>63</v>
      </c>
      <c r="F634" s="47">
        <v>1544</v>
      </c>
      <c r="G634" s="47">
        <v>97272</v>
      </c>
      <c r="H634" s="47" t="s">
        <v>1025</v>
      </c>
      <c r="I634" s="50" t="s">
        <v>1029</v>
      </c>
      <c r="J634" s="48" t="s">
        <v>1031</v>
      </c>
      <c r="K634" s="47" t="str">
        <f t="shared" si="9"/>
        <v/>
      </c>
    </row>
    <row r="635" spans="1:11" x14ac:dyDescent="0.25">
      <c r="A635" t="s">
        <v>643</v>
      </c>
      <c r="B635" s="48">
        <v>45683</v>
      </c>
      <c r="C635" t="s">
        <v>1010</v>
      </c>
      <c r="D635" t="s">
        <v>1018</v>
      </c>
      <c r="E635" s="47">
        <v>42</v>
      </c>
      <c r="F635" s="47">
        <v>1751</v>
      </c>
      <c r="G635" s="47">
        <v>73542</v>
      </c>
      <c r="H635" s="47" t="s">
        <v>1027</v>
      </c>
      <c r="I635" s="50" t="s">
        <v>1029</v>
      </c>
      <c r="J635" s="48" t="s">
        <v>1031</v>
      </c>
      <c r="K635" s="47" t="str">
        <f t="shared" si="9"/>
        <v/>
      </c>
    </row>
    <row r="636" spans="1:11" x14ac:dyDescent="0.25">
      <c r="A636" t="s">
        <v>644</v>
      </c>
      <c r="B636" s="48">
        <v>45713</v>
      </c>
      <c r="C636" t="s">
        <v>1012</v>
      </c>
      <c r="D636" t="s">
        <v>1016</v>
      </c>
      <c r="E636" s="47">
        <v>415</v>
      </c>
      <c r="F636" s="47">
        <v>1796</v>
      </c>
      <c r="G636" s="47">
        <v>745340</v>
      </c>
      <c r="H636" s="47" t="s">
        <v>1030</v>
      </c>
      <c r="I636" s="50" t="s">
        <v>1026</v>
      </c>
      <c r="J636" s="48" t="s">
        <v>1031</v>
      </c>
      <c r="K636" s="47" t="str">
        <f t="shared" si="9"/>
        <v/>
      </c>
    </row>
    <row r="637" spans="1:11" x14ac:dyDescent="0.25">
      <c r="A637" t="s">
        <v>645</v>
      </c>
      <c r="B637" s="48">
        <v>45885</v>
      </c>
      <c r="C637" t="s">
        <v>1014</v>
      </c>
      <c r="D637" t="s">
        <v>1015</v>
      </c>
      <c r="E637" s="47">
        <v>479</v>
      </c>
      <c r="F637" s="47">
        <v>651</v>
      </c>
      <c r="G637" s="47">
        <v>311829</v>
      </c>
      <c r="H637" s="47" t="s">
        <v>1027</v>
      </c>
      <c r="I637" s="50" t="s">
        <v>1026</v>
      </c>
      <c r="J637" s="48" t="s">
        <v>1031</v>
      </c>
      <c r="K637" s="47" t="str">
        <f t="shared" si="9"/>
        <v/>
      </c>
    </row>
    <row r="638" spans="1:11" x14ac:dyDescent="0.25">
      <c r="A638" t="s">
        <v>646</v>
      </c>
      <c r="B638" s="48">
        <v>46023</v>
      </c>
      <c r="C638" t="s">
        <v>1011</v>
      </c>
      <c r="D638" t="s">
        <v>1020</v>
      </c>
      <c r="E638" s="47">
        <v>321</v>
      </c>
      <c r="F638" s="47">
        <v>1432</v>
      </c>
      <c r="G638" s="47">
        <v>459672</v>
      </c>
      <c r="H638" s="47" t="s">
        <v>1025</v>
      </c>
      <c r="I638" s="50" t="s">
        <v>1026</v>
      </c>
      <c r="J638" s="48" t="s">
        <v>1031</v>
      </c>
      <c r="K638" s="47" t="str">
        <f t="shared" si="9"/>
        <v/>
      </c>
    </row>
    <row r="639" spans="1:11" x14ac:dyDescent="0.25">
      <c r="A639" t="s">
        <v>647</v>
      </c>
      <c r="B639" s="48">
        <v>45731</v>
      </c>
      <c r="C639" t="s">
        <v>1014</v>
      </c>
      <c r="D639" t="s">
        <v>1019</v>
      </c>
      <c r="E639" s="47">
        <v>454</v>
      </c>
      <c r="F639" s="47">
        <v>1913</v>
      </c>
      <c r="G639" s="47">
        <v>868502</v>
      </c>
      <c r="H639" s="47" t="s">
        <v>1030</v>
      </c>
      <c r="I639" s="50" t="s">
        <v>1026</v>
      </c>
      <c r="J639" s="48" t="s">
        <v>1031</v>
      </c>
      <c r="K639" s="47" t="str">
        <f t="shared" si="9"/>
        <v/>
      </c>
    </row>
    <row r="640" spans="1:11" x14ac:dyDescent="0.25">
      <c r="A640" t="s">
        <v>648</v>
      </c>
      <c r="B640" s="48">
        <v>45913</v>
      </c>
      <c r="C640" t="s">
        <v>1013</v>
      </c>
      <c r="D640" t="s">
        <v>1022</v>
      </c>
      <c r="E640" s="47">
        <v>500</v>
      </c>
      <c r="F640" s="47">
        <v>744</v>
      </c>
      <c r="G640" s="47">
        <v>372000</v>
      </c>
      <c r="H640" s="47" t="s">
        <v>1027</v>
      </c>
      <c r="I640" s="50" t="s">
        <v>1026</v>
      </c>
      <c r="J640" s="48" t="s">
        <v>1031</v>
      </c>
      <c r="K640" s="47" t="str">
        <f t="shared" si="9"/>
        <v/>
      </c>
    </row>
    <row r="641" spans="1:11" x14ac:dyDescent="0.25">
      <c r="A641" t="s">
        <v>649</v>
      </c>
      <c r="B641" s="48">
        <v>45900</v>
      </c>
      <c r="C641" t="s">
        <v>1014</v>
      </c>
      <c r="D641" t="s">
        <v>1020</v>
      </c>
      <c r="E641" s="47">
        <v>172</v>
      </c>
      <c r="F641" s="47">
        <v>670</v>
      </c>
      <c r="G641" s="47">
        <v>115240</v>
      </c>
      <c r="H641" s="47" t="s">
        <v>1030</v>
      </c>
      <c r="I641" s="50" t="s">
        <v>1029</v>
      </c>
      <c r="J641" s="48" t="s">
        <v>1031</v>
      </c>
      <c r="K641" s="47" t="str">
        <f t="shared" si="9"/>
        <v/>
      </c>
    </row>
    <row r="642" spans="1:11" x14ac:dyDescent="0.25">
      <c r="A642" t="s">
        <v>650</v>
      </c>
      <c r="B642" s="48">
        <v>45839</v>
      </c>
      <c r="C642" t="s">
        <v>1010</v>
      </c>
      <c r="D642" t="s">
        <v>1020</v>
      </c>
      <c r="E642" s="47">
        <v>184</v>
      </c>
      <c r="F642" s="47">
        <v>1710</v>
      </c>
      <c r="G642" s="47">
        <v>314640</v>
      </c>
      <c r="H642" s="47" t="s">
        <v>1027</v>
      </c>
      <c r="I642" s="50" t="s">
        <v>1029</v>
      </c>
      <c r="J642" s="48" t="s">
        <v>1031</v>
      </c>
      <c r="K642" s="47" t="str">
        <f t="shared" ref="K642:K705" si="10">IF(J642="", "", J642-B642)</f>
        <v/>
      </c>
    </row>
    <row r="643" spans="1:11" x14ac:dyDescent="0.25">
      <c r="A643" t="s">
        <v>651</v>
      </c>
      <c r="B643" s="48">
        <v>45838</v>
      </c>
      <c r="C643" t="s">
        <v>1014</v>
      </c>
      <c r="D643" t="s">
        <v>1022</v>
      </c>
      <c r="E643" s="47">
        <v>494</v>
      </c>
      <c r="F643" s="47">
        <v>550</v>
      </c>
      <c r="G643" s="47">
        <v>271700</v>
      </c>
      <c r="H643" s="47" t="s">
        <v>1030</v>
      </c>
      <c r="I643" s="50" t="s">
        <v>1029</v>
      </c>
      <c r="J643" s="48" t="s">
        <v>1031</v>
      </c>
      <c r="K643" s="47" t="str">
        <f t="shared" si="10"/>
        <v/>
      </c>
    </row>
    <row r="644" spans="1:11" x14ac:dyDescent="0.25">
      <c r="A644" t="s">
        <v>652</v>
      </c>
      <c r="B644" s="48">
        <v>45877</v>
      </c>
      <c r="C644" t="s">
        <v>1012</v>
      </c>
      <c r="D644" t="s">
        <v>1020</v>
      </c>
      <c r="E644" s="47">
        <v>150</v>
      </c>
      <c r="F644" s="47">
        <v>495</v>
      </c>
      <c r="G644" s="47">
        <v>74250</v>
      </c>
      <c r="H644" s="47" t="s">
        <v>1030</v>
      </c>
      <c r="I644" s="50" t="s">
        <v>1028</v>
      </c>
      <c r="J644" s="48">
        <v>45883</v>
      </c>
      <c r="K644" s="47">
        <f t="shared" si="10"/>
        <v>6</v>
      </c>
    </row>
    <row r="645" spans="1:11" x14ac:dyDescent="0.25">
      <c r="A645" t="s">
        <v>653</v>
      </c>
      <c r="B645" s="48">
        <v>45942</v>
      </c>
      <c r="C645" t="s">
        <v>1013</v>
      </c>
      <c r="D645" t="s">
        <v>1015</v>
      </c>
      <c r="E645" s="47">
        <v>207</v>
      </c>
      <c r="F645" s="47">
        <v>1318</v>
      </c>
      <c r="G645" s="47">
        <v>272826</v>
      </c>
      <c r="H645" s="47" t="s">
        <v>1025</v>
      </c>
      <c r="I645" s="50" t="s">
        <v>1029</v>
      </c>
      <c r="J645" s="48" t="s">
        <v>1031</v>
      </c>
      <c r="K645" s="47" t="str">
        <f t="shared" si="10"/>
        <v/>
      </c>
    </row>
    <row r="646" spans="1:11" x14ac:dyDescent="0.25">
      <c r="A646" t="s">
        <v>654</v>
      </c>
      <c r="B646" s="48">
        <v>45659</v>
      </c>
      <c r="C646" t="s">
        <v>1011</v>
      </c>
      <c r="D646" t="s">
        <v>1023</v>
      </c>
      <c r="E646" s="47">
        <v>348</v>
      </c>
      <c r="F646" s="47">
        <v>742</v>
      </c>
      <c r="G646" s="47">
        <v>258216</v>
      </c>
      <c r="H646" s="47" t="s">
        <v>1027</v>
      </c>
      <c r="I646" s="50" t="s">
        <v>1028</v>
      </c>
      <c r="J646" s="48">
        <v>45673</v>
      </c>
      <c r="K646" s="47">
        <f t="shared" si="10"/>
        <v>14</v>
      </c>
    </row>
    <row r="647" spans="1:11" x14ac:dyDescent="0.25">
      <c r="A647" t="s">
        <v>655</v>
      </c>
      <c r="B647" s="48">
        <v>45845</v>
      </c>
      <c r="C647" t="s">
        <v>1012</v>
      </c>
      <c r="D647" t="s">
        <v>1018</v>
      </c>
      <c r="E647" s="47">
        <v>101</v>
      </c>
      <c r="F647" s="47">
        <v>1114</v>
      </c>
      <c r="G647" s="47">
        <v>112514</v>
      </c>
      <c r="H647" s="47" t="s">
        <v>1025</v>
      </c>
      <c r="I647" s="50" t="s">
        <v>1026</v>
      </c>
      <c r="J647" s="48" t="s">
        <v>1031</v>
      </c>
      <c r="K647" s="47" t="str">
        <f t="shared" si="10"/>
        <v/>
      </c>
    </row>
    <row r="648" spans="1:11" x14ac:dyDescent="0.25">
      <c r="A648" t="s">
        <v>656</v>
      </c>
      <c r="B648" s="48">
        <v>45775</v>
      </c>
      <c r="C648" t="s">
        <v>1011</v>
      </c>
      <c r="D648" t="s">
        <v>1017</v>
      </c>
      <c r="E648" s="47">
        <v>346</v>
      </c>
      <c r="F648" s="47">
        <v>340</v>
      </c>
      <c r="G648" s="47">
        <v>117640</v>
      </c>
      <c r="H648" s="47" t="s">
        <v>1025</v>
      </c>
      <c r="I648" s="50" t="s">
        <v>1028</v>
      </c>
      <c r="J648" s="48">
        <v>45784</v>
      </c>
      <c r="K648" s="47">
        <f t="shared" si="10"/>
        <v>9</v>
      </c>
    </row>
    <row r="649" spans="1:11" x14ac:dyDescent="0.25">
      <c r="A649" t="s">
        <v>657</v>
      </c>
      <c r="B649" s="48">
        <v>45776</v>
      </c>
      <c r="C649" t="s">
        <v>1011</v>
      </c>
      <c r="D649" t="s">
        <v>1019</v>
      </c>
      <c r="E649" s="47">
        <v>44</v>
      </c>
      <c r="F649" s="47">
        <v>388</v>
      </c>
      <c r="G649" s="47">
        <v>17072</v>
      </c>
      <c r="H649" s="47" t="s">
        <v>1030</v>
      </c>
      <c r="I649" s="50" t="s">
        <v>1029</v>
      </c>
      <c r="J649" s="48" t="s">
        <v>1031</v>
      </c>
      <c r="K649" s="47" t="str">
        <f t="shared" si="10"/>
        <v/>
      </c>
    </row>
    <row r="650" spans="1:11" x14ac:dyDescent="0.25">
      <c r="A650" t="s">
        <v>658</v>
      </c>
      <c r="B650" s="48">
        <v>45812</v>
      </c>
      <c r="C650" t="s">
        <v>1014</v>
      </c>
      <c r="D650" t="s">
        <v>1015</v>
      </c>
      <c r="E650" s="47">
        <v>203</v>
      </c>
      <c r="F650" s="47">
        <v>1074</v>
      </c>
      <c r="G650" s="47">
        <v>218022</v>
      </c>
      <c r="H650" s="47" t="s">
        <v>1030</v>
      </c>
      <c r="I650" s="50" t="s">
        <v>1029</v>
      </c>
      <c r="J650" s="48" t="s">
        <v>1031</v>
      </c>
      <c r="K650" s="47" t="str">
        <f t="shared" si="10"/>
        <v/>
      </c>
    </row>
    <row r="651" spans="1:11" x14ac:dyDescent="0.25">
      <c r="A651" t="s">
        <v>659</v>
      </c>
      <c r="B651" s="48">
        <v>45902</v>
      </c>
      <c r="C651" t="s">
        <v>1014</v>
      </c>
      <c r="D651" t="s">
        <v>1021</v>
      </c>
      <c r="E651" s="47">
        <v>306</v>
      </c>
      <c r="F651" s="47">
        <v>831</v>
      </c>
      <c r="G651" s="47">
        <v>254286</v>
      </c>
      <c r="H651" s="47" t="s">
        <v>1030</v>
      </c>
      <c r="I651" s="50" t="s">
        <v>1028</v>
      </c>
      <c r="J651" s="48">
        <v>45909</v>
      </c>
      <c r="K651" s="47">
        <f t="shared" si="10"/>
        <v>7</v>
      </c>
    </row>
    <row r="652" spans="1:11" x14ac:dyDescent="0.25">
      <c r="A652" t="s">
        <v>660</v>
      </c>
      <c r="B652" s="48">
        <v>45820</v>
      </c>
      <c r="C652" t="s">
        <v>1011</v>
      </c>
      <c r="D652" t="s">
        <v>1024</v>
      </c>
      <c r="E652" s="47">
        <v>405</v>
      </c>
      <c r="F652" s="47">
        <v>1782</v>
      </c>
      <c r="G652" s="47">
        <v>721710</v>
      </c>
      <c r="H652" s="47" t="s">
        <v>1030</v>
      </c>
      <c r="I652" s="50" t="s">
        <v>1029</v>
      </c>
      <c r="J652" s="48" t="s">
        <v>1031</v>
      </c>
      <c r="K652" s="47" t="str">
        <f t="shared" si="10"/>
        <v/>
      </c>
    </row>
    <row r="653" spans="1:11" x14ac:dyDescent="0.25">
      <c r="A653" t="s">
        <v>661</v>
      </c>
      <c r="B653" s="48">
        <v>45749</v>
      </c>
      <c r="C653" t="s">
        <v>1013</v>
      </c>
      <c r="D653" t="s">
        <v>1022</v>
      </c>
      <c r="E653" s="47">
        <v>391</v>
      </c>
      <c r="F653" s="47">
        <v>1377</v>
      </c>
      <c r="G653" s="47">
        <v>538407</v>
      </c>
      <c r="H653" s="47" t="s">
        <v>1030</v>
      </c>
      <c r="I653" s="50" t="s">
        <v>1028</v>
      </c>
      <c r="J653" s="48">
        <v>45758</v>
      </c>
      <c r="K653" s="47">
        <f t="shared" si="10"/>
        <v>9</v>
      </c>
    </row>
    <row r="654" spans="1:11" x14ac:dyDescent="0.25">
      <c r="A654" t="s">
        <v>662</v>
      </c>
      <c r="B654" s="48">
        <v>46018</v>
      </c>
      <c r="C654" t="s">
        <v>1013</v>
      </c>
      <c r="D654" t="s">
        <v>1023</v>
      </c>
      <c r="E654" s="47">
        <v>270</v>
      </c>
      <c r="F654" s="47">
        <v>1063</v>
      </c>
      <c r="G654" s="47">
        <v>287010</v>
      </c>
      <c r="H654" s="47" t="s">
        <v>1025</v>
      </c>
      <c r="I654" s="50" t="s">
        <v>1026</v>
      </c>
      <c r="J654" s="48" t="s">
        <v>1031</v>
      </c>
      <c r="K654" s="47" t="str">
        <f t="shared" si="10"/>
        <v/>
      </c>
    </row>
    <row r="655" spans="1:11" x14ac:dyDescent="0.25">
      <c r="A655" t="s">
        <v>663</v>
      </c>
      <c r="B655" s="48">
        <v>45808</v>
      </c>
      <c r="C655" t="s">
        <v>1010</v>
      </c>
      <c r="D655" t="s">
        <v>1017</v>
      </c>
      <c r="E655" s="47">
        <v>440</v>
      </c>
      <c r="F655" s="47">
        <v>336</v>
      </c>
      <c r="G655" s="47">
        <v>147840</v>
      </c>
      <c r="H655" s="47" t="s">
        <v>1027</v>
      </c>
      <c r="I655" s="50" t="s">
        <v>1029</v>
      </c>
      <c r="J655" s="48" t="s">
        <v>1031</v>
      </c>
      <c r="K655" s="47" t="str">
        <f t="shared" si="10"/>
        <v/>
      </c>
    </row>
    <row r="656" spans="1:11" x14ac:dyDescent="0.25">
      <c r="A656" t="s">
        <v>664</v>
      </c>
      <c r="B656" s="48">
        <v>45929</v>
      </c>
      <c r="C656" t="s">
        <v>1011</v>
      </c>
      <c r="D656" t="s">
        <v>1020</v>
      </c>
      <c r="E656" s="47">
        <v>405</v>
      </c>
      <c r="F656" s="47">
        <v>276</v>
      </c>
      <c r="G656" s="47">
        <v>111780</v>
      </c>
      <c r="H656" s="47" t="s">
        <v>1025</v>
      </c>
      <c r="I656" s="50" t="s">
        <v>1029</v>
      </c>
      <c r="J656" s="48" t="s">
        <v>1031</v>
      </c>
      <c r="K656" s="47" t="str">
        <f t="shared" si="10"/>
        <v/>
      </c>
    </row>
    <row r="657" spans="1:11" x14ac:dyDescent="0.25">
      <c r="A657" t="s">
        <v>665</v>
      </c>
      <c r="B657" s="48">
        <v>45912</v>
      </c>
      <c r="C657" t="s">
        <v>1013</v>
      </c>
      <c r="D657" t="s">
        <v>1023</v>
      </c>
      <c r="E657" s="47">
        <v>233</v>
      </c>
      <c r="F657" s="47">
        <v>1693</v>
      </c>
      <c r="G657" s="47">
        <v>394469</v>
      </c>
      <c r="H657" s="47" t="s">
        <v>1030</v>
      </c>
      <c r="I657" s="50" t="s">
        <v>1029</v>
      </c>
      <c r="J657" s="48" t="s">
        <v>1031</v>
      </c>
      <c r="K657" s="47" t="str">
        <f t="shared" si="10"/>
        <v/>
      </c>
    </row>
    <row r="658" spans="1:11" x14ac:dyDescent="0.25">
      <c r="A658" t="s">
        <v>666</v>
      </c>
      <c r="B658" s="48">
        <v>45827</v>
      </c>
      <c r="C658" t="s">
        <v>1010</v>
      </c>
      <c r="D658" t="s">
        <v>1024</v>
      </c>
      <c r="E658" s="47">
        <v>79</v>
      </c>
      <c r="F658" s="47">
        <v>510</v>
      </c>
      <c r="G658" s="47">
        <v>40290</v>
      </c>
      <c r="H658" s="47" t="s">
        <v>1030</v>
      </c>
      <c r="I658" s="50" t="s">
        <v>1029</v>
      </c>
      <c r="J658" s="48" t="s">
        <v>1031</v>
      </c>
      <c r="K658" s="47" t="str">
        <f t="shared" si="10"/>
        <v/>
      </c>
    </row>
    <row r="659" spans="1:11" x14ac:dyDescent="0.25">
      <c r="A659" t="s">
        <v>667</v>
      </c>
      <c r="B659" s="48">
        <v>45857</v>
      </c>
      <c r="C659" t="s">
        <v>1013</v>
      </c>
      <c r="D659" t="s">
        <v>1017</v>
      </c>
      <c r="E659" s="47">
        <v>139</v>
      </c>
      <c r="F659" s="47">
        <v>700</v>
      </c>
      <c r="G659" s="47">
        <v>97300</v>
      </c>
      <c r="H659" s="47" t="s">
        <v>1027</v>
      </c>
      <c r="I659" s="50" t="s">
        <v>1028</v>
      </c>
      <c r="J659" s="48">
        <v>45866</v>
      </c>
      <c r="K659" s="47">
        <f t="shared" si="10"/>
        <v>9</v>
      </c>
    </row>
    <row r="660" spans="1:11" x14ac:dyDescent="0.25">
      <c r="A660" t="s">
        <v>668</v>
      </c>
      <c r="B660" s="48">
        <v>45763</v>
      </c>
      <c r="C660" t="s">
        <v>1014</v>
      </c>
      <c r="D660" t="s">
        <v>1021</v>
      </c>
      <c r="E660" s="47">
        <v>38</v>
      </c>
      <c r="F660" s="47">
        <v>847</v>
      </c>
      <c r="G660" s="47">
        <v>32186</v>
      </c>
      <c r="H660" s="47" t="s">
        <v>1027</v>
      </c>
      <c r="I660" s="50" t="s">
        <v>1026</v>
      </c>
      <c r="J660" s="48" t="s">
        <v>1031</v>
      </c>
      <c r="K660" s="47" t="str">
        <f t="shared" si="10"/>
        <v/>
      </c>
    </row>
    <row r="661" spans="1:11" x14ac:dyDescent="0.25">
      <c r="A661" t="s">
        <v>669</v>
      </c>
      <c r="B661" s="48">
        <v>45766</v>
      </c>
      <c r="C661" t="s">
        <v>1011</v>
      </c>
      <c r="D661" t="s">
        <v>1015</v>
      </c>
      <c r="E661" s="47">
        <v>316</v>
      </c>
      <c r="F661" s="47">
        <v>159</v>
      </c>
      <c r="G661" s="47">
        <v>50244</v>
      </c>
      <c r="H661" s="47" t="s">
        <v>1030</v>
      </c>
      <c r="I661" s="50" t="s">
        <v>1028</v>
      </c>
      <c r="J661" s="48">
        <v>45773</v>
      </c>
      <c r="K661" s="47">
        <f t="shared" si="10"/>
        <v>7</v>
      </c>
    </row>
    <row r="662" spans="1:11" x14ac:dyDescent="0.25">
      <c r="A662" t="s">
        <v>670</v>
      </c>
      <c r="B662" s="48">
        <v>45869</v>
      </c>
      <c r="C662" t="s">
        <v>1011</v>
      </c>
      <c r="D662" t="s">
        <v>1019</v>
      </c>
      <c r="E662" s="47">
        <v>442</v>
      </c>
      <c r="F662" s="47">
        <v>562</v>
      </c>
      <c r="G662" s="47">
        <v>248404</v>
      </c>
      <c r="H662" s="47" t="s">
        <v>1025</v>
      </c>
      <c r="I662" s="50" t="s">
        <v>1029</v>
      </c>
      <c r="J662" s="48" t="s">
        <v>1031</v>
      </c>
      <c r="K662" s="47" t="str">
        <f t="shared" si="10"/>
        <v/>
      </c>
    </row>
    <row r="663" spans="1:11" x14ac:dyDescent="0.25">
      <c r="A663" t="s">
        <v>671</v>
      </c>
      <c r="B663" s="48">
        <v>45882</v>
      </c>
      <c r="C663" t="s">
        <v>1010</v>
      </c>
      <c r="D663" t="s">
        <v>1015</v>
      </c>
      <c r="E663" s="47">
        <v>227</v>
      </c>
      <c r="F663" s="47">
        <v>107</v>
      </c>
      <c r="G663" s="47">
        <v>24289</v>
      </c>
      <c r="H663" s="47" t="s">
        <v>1025</v>
      </c>
      <c r="I663" s="50" t="s">
        <v>1026</v>
      </c>
      <c r="J663" s="48" t="s">
        <v>1031</v>
      </c>
      <c r="K663" s="47" t="str">
        <f t="shared" si="10"/>
        <v/>
      </c>
    </row>
    <row r="664" spans="1:11" x14ac:dyDescent="0.25">
      <c r="A664" t="s">
        <v>672</v>
      </c>
      <c r="B664" s="48">
        <v>45918</v>
      </c>
      <c r="C664" t="s">
        <v>1012</v>
      </c>
      <c r="D664" t="s">
        <v>1017</v>
      </c>
      <c r="E664" s="47">
        <v>37</v>
      </c>
      <c r="F664" s="47">
        <v>402</v>
      </c>
      <c r="G664" s="47">
        <v>14874</v>
      </c>
      <c r="H664" s="47" t="s">
        <v>1027</v>
      </c>
      <c r="I664" s="50" t="s">
        <v>1029</v>
      </c>
      <c r="J664" s="48" t="s">
        <v>1031</v>
      </c>
      <c r="K664" s="47" t="str">
        <f t="shared" si="10"/>
        <v/>
      </c>
    </row>
    <row r="665" spans="1:11" x14ac:dyDescent="0.25">
      <c r="A665" t="s">
        <v>673</v>
      </c>
      <c r="B665" s="48">
        <v>45727</v>
      </c>
      <c r="C665" t="s">
        <v>1010</v>
      </c>
      <c r="D665" t="s">
        <v>1017</v>
      </c>
      <c r="E665" s="47">
        <v>258</v>
      </c>
      <c r="F665" s="47">
        <v>1034</v>
      </c>
      <c r="G665" s="47">
        <v>266772</v>
      </c>
      <c r="H665" s="47" t="s">
        <v>1027</v>
      </c>
      <c r="I665" s="50" t="s">
        <v>1026</v>
      </c>
      <c r="J665" s="48" t="s">
        <v>1031</v>
      </c>
      <c r="K665" s="47" t="str">
        <f t="shared" si="10"/>
        <v/>
      </c>
    </row>
    <row r="666" spans="1:11" x14ac:dyDescent="0.25">
      <c r="A666" t="s">
        <v>674</v>
      </c>
      <c r="B666" s="48">
        <v>45814</v>
      </c>
      <c r="C666" t="s">
        <v>1010</v>
      </c>
      <c r="D666" t="s">
        <v>1022</v>
      </c>
      <c r="E666" s="47">
        <v>424</v>
      </c>
      <c r="F666" s="47">
        <v>1897</v>
      </c>
      <c r="G666" s="47">
        <v>804328</v>
      </c>
      <c r="H666" s="47" t="s">
        <v>1030</v>
      </c>
      <c r="I666" s="50" t="s">
        <v>1026</v>
      </c>
      <c r="J666" s="48" t="s">
        <v>1031</v>
      </c>
      <c r="K666" s="47" t="str">
        <f t="shared" si="10"/>
        <v/>
      </c>
    </row>
    <row r="667" spans="1:11" x14ac:dyDescent="0.25">
      <c r="A667" t="s">
        <v>675</v>
      </c>
      <c r="B667" s="48">
        <v>45699</v>
      </c>
      <c r="C667" t="s">
        <v>1012</v>
      </c>
      <c r="D667" t="s">
        <v>1018</v>
      </c>
      <c r="E667" s="47">
        <v>150</v>
      </c>
      <c r="F667" s="47">
        <v>657</v>
      </c>
      <c r="G667" s="47">
        <v>98550</v>
      </c>
      <c r="H667" s="47" t="s">
        <v>1025</v>
      </c>
      <c r="I667" s="50" t="s">
        <v>1029</v>
      </c>
      <c r="J667" s="48" t="s">
        <v>1031</v>
      </c>
      <c r="K667" s="47" t="str">
        <f t="shared" si="10"/>
        <v/>
      </c>
    </row>
    <row r="668" spans="1:11" x14ac:dyDescent="0.25">
      <c r="A668" t="s">
        <v>676</v>
      </c>
      <c r="B668" s="48">
        <v>45907</v>
      </c>
      <c r="C668" t="s">
        <v>1012</v>
      </c>
      <c r="D668" t="s">
        <v>1021</v>
      </c>
      <c r="E668" s="47">
        <v>258</v>
      </c>
      <c r="F668" s="47">
        <v>1098</v>
      </c>
      <c r="G668" s="47">
        <v>283284</v>
      </c>
      <c r="H668" s="47" t="s">
        <v>1030</v>
      </c>
      <c r="I668" s="50" t="s">
        <v>1026</v>
      </c>
      <c r="J668" s="48" t="s">
        <v>1031</v>
      </c>
      <c r="K668" s="47" t="str">
        <f t="shared" si="10"/>
        <v/>
      </c>
    </row>
    <row r="669" spans="1:11" x14ac:dyDescent="0.25">
      <c r="A669" t="s">
        <v>677</v>
      </c>
      <c r="B669" s="48">
        <v>45828</v>
      </c>
      <c r="C669" t="s">
        <v>1011</v>
      </c>
      <c r="D669" t="s">
        <v>1017</v>
      </c>
      <c r="E669" s="47">
        <v>387</v>
      </c>
      <c r="F669" s="47">
        <v>849</v>
      </c>
      <c r="G669" s="47">
        <v>328563</v>
      </c>
      <c r="H669" s="47" t="s">
        <v>1025</v>
      </c>
      <c r="I669" s="50" t="s">
        <v>1029</v>
      </c>
      <c r="J669" s="48" t="s">
        <v>1031</v>
      </c>
      <c r="K669" s="47" t="str">
        <f t="shared" si="10"/>
        <v/>
      </c>
    </row>
    <row r="670" spans="1:11" x14ac:dyDescent="0.25">
      <c r="A670" t="s">
        <v>678</v>
      </c>
      <c r="B670" s="48">
        <v>45836</v>
      </c>
      <c r="C670" t="s">
        <v>1013</v>
      </c>
      <c r="D670" t="s">
        <v>1020</v>
      </c>
      <c r="E670" s="47">
        <v>152</v>
      </c>
      <c r="F670" s="47">
        <v>687</v>
      </c>
      <c r="G670" s="47">
        <v>104424</v>
      </c>
      <c r="H670" s="47" t="s">
        <v>1025</v>
      </c>
      <c r="I670" s="50" t="s">
        <v>1029</v>
      </c>
      <c r="J670" s="48" t="s">
        <v>1031</v>
      </c>
      <c r="K670" s="47" t="str">
        <f t="shared" si="10"/>
        <v/>
      </c>
    </row>
    <row r="671" spans="1:11" x14ac:dyDescent="0.25">
      <c r="A671" t="s">
        <v>679</v>
      </c>
      <c r="B671" s="48">
        <v>45692</v>
      </c>
      <c r="C671" t="s">
        <v>1010</v>
      </c>
      <c r="D671" t="s">
        <v>1015</v>
      </c>
      <c r="E671" s="47">
        <v>394</v>
      </c>
      <c r="F671" s="47">
        <v>545</v>
      </c>
      <c r="G671" s="47">
        <v>214730</v>
      </c>
      <c r="H671" s="47" t="s">
        <v>1030</v>
      </c>
      <c r="I671" s="50" t="s">
        <v>1026</v>
      </c>
      <c r="J671" s="48" t="s">
        <v>1031</v>
      </c>
      <c r="K671" s="47" t="str">
        <f t="shared" si="10"/>
        <v/>
      </c>
    </row>
    <row r="672" spans="1:11" x14ac:dyDescent="0.25">
      <c r="A672" t="s">
        <v>680</v>
      </c>
      <c r="B672" s="48">
        <v>45872</v>
      </c>
      <c r="C672" t="s">
        <v>1013</v>
      </c>
      <c r="D672" t="s">
        <v>1021</v>
      </c>
      <c r="E672" s="47">
        <v>312</v>
      </c>
      <c r="F672" s="47">
        <v>281</v>
      </c>
      <c r="G672" s="47">
        <v>87672</v>
      </c>
      <c r="H672" s="47" t="s">
        <v>1025</v>
      </c>
      <c r="I672" s="50" t="s">
        <v>1029</v>
      </c>
      <c r="J672" s="48" t="s">
        <v>1031</v>
      </c>
      <c r="K672" s="47" t="str">
        <f t="shared" si="10"/>
        <v/>
      </c>
    </row>
    <row r="673" spans="1:11" x14ac:dyDescent="0.25">
      <c r="A673" t="s">
        <v>681</v>
      </c>
      <c r="B673" s="48">
        <v>45792</v>
      </c>
      <c r="C673" t="s">
        <v>1010</v>
      </c>
      <c r="D673" t="s">
        <v>1016</v>
      </c>
      <c r="E673" s="47">
        <v>210</v>
      </c>
      <c r="F673" s="47">
        <v>121</v>
      </c>
      <c r="G673" s="47">
        <v>25410</v>
      </c>
      <c r="H673" s="47" t="s">
        <v>1027</v>
      </c>
      <c r="I673" s="50" t="s">
        <v>1026</v>
      </c>
      <c r="J673" s="48" t="s">
        <v>1031</v>
      </c>
      <c r="K673" s="47" t="str">
        <f t="shared" si="10"/>
        <v/>
      </c>
    </row>
    <row r="674" spans="1:11" x14ac:dyDescent="0.25">
      <c r="A674" t="s">
        <v>682</v>
      </c>
      <c r="B674" s="48">
        <v>45736</v>
      </c>
      <c r="C674" t="s">
        <v>1013</v>
      </c>
      <c r="D674" t="s">
        <v>1021</v>
      </c>
      <c r="E674" s="47">
        <v>63</v>
      </c>
      <c r="F674" s="47">
        <v>879</v>
      </c>
      <c r="G674" s="47">
        <v>55377</v>
      </c>
      <c r="H674" s="47" t="s">
        <v>1025</v>
      </c>
      <c r="I674" s="50" t="s">
        <v>1028</v>
      </c>
      <c r="J674" s="48">
        <v>45749</v>
      </c>
      <c r="K674" s="47">
        <f t="shared" si="10"/>
        <v>13</v>
      </c>
    </row>
    <row r="675" spans="1:11" x14ac:dyDescent="0.25">
      <c r="A675" t="s">
        <v>683</v>
      </c>
      <c r="B675" s="48">
        <v>45704</v>
      </c>
      <c r="C675" t="s">
        <v>1010</v>
      </c>
      <c r="D675" t="s">
        <v>1018</v>
      </c>
      <c r="E675" s="47">
        <v>110</v>
      </c>
      <c r="F675" s="47">
        <v>478</v>
      </c>
      <c r="G675" s="47">
        <v>52580</v>
      </c>
      <c r="H675" s="47" t="s">
        <v>1030</v>
      </c>
      <c r="I675" s="50" t="s">
        <v>1026</v>
      </c>
      <c r="J675" s="48" t="s">
        <v>1031</v>
      </c>
      <c r="K675" s="47" t="str">
        <f t="shared" si="10"/>
        <v/>
      </c>
    </row>
    <row r="676" spans="1:11" x14ac:dyDescent="0.25">
      <c r="A676" t="s">
        <v>684</v>
      </c>
      <c r="B676" s="48">
        <v>45681</v>
      </c>
      <c r="C676" t="s">
        <v>1011</v>
      </c>
      <c r="D676" t="s">
        <v>1017</v>
      </c>
      <c r="E676" s="47">
        <v>445</v>
      </c>
      <c r="F676" s="47">
        <v>1381</v>
      </c>
      <c r="G676" s="47">
        <v>614545</v>
      </c>
      <c r="H676" s="47" t="s">
        <v>1027</v>
      </c>
      <c r="I676" s="50" t="s">
        <v>1029</v>
      </c>
      <c r="J676" s="48" t="s">
        <v>1031</v>
      </c>
      <c r="K676" s="47" t="str">
        <f t="shared" si="10"/>
        <v/>
      </c>
    </row>
    <row r="677" spans="1:11" x14ac:dyDescent="0.25">
      <c r="A677" t="s">
        <v>685</v>
      </c>
      <c r="B677" s="48">
        <v>45982</v>
      </c>
      <c r="C677" t="s">
        <v>1011</v>
      </c>
      <c r="D677" t="s">
        <v>1018</v>
      </c>
      <c r="E677" s="47">
        <v>135</v>
      </c>
      <c r="F677" s="47">
        <v>1180</v>
      </c>
      <c r="G677" s="47">
        <v>159300</v>
      </c>
      <c r="H677" s="47" t="s">
        <v>1030</v>
      </c>
      <c r="I677" s="50" t="s">
        <v>1029</v>
      </c>
      <c r="J677" s="48" t="s">
        <v>1031</v>
      </c>
      <c r="K677" s="47" t="str">
        <f t="shared" si="10"/>
        <v/>
      </c>
    </row>
    <row r="678" spans="1:11" x14ac:dyDescent="0.25">
      <c r="A678" t="s">
        <v>686</v>
      </c>
      <c r="B678" s="48">
        <v>45923</v>
      </c>
      <c r="C678" t="s">
        <v>1014</v>
      </c>
      <c r="D678" t="s">
        <v>1024</v>
      </c>
      <c r="E678" s="47">
        <v>326</v>
      </c>
      <c r="F678" s="47">
        <v>1759</v>
      </c>
      <c r="G678" s="47">
        <v>573434</v>
      </c>
      <c r="H678" s="47" t="s">
        <v>1030</v>
      </c>
      <c r="I678" s="50" t="s">
        <v>1029</v>
      </c>
      <c r="J678" s="48" t="s">
        <v>1031</v>
      </c>
      <c r="K678" s="47" t="str">
        <f t="shared" si="10"/>
        <v/>
      </c>
    </row>
    <row r="679" spans="1:11" x14ac:dyDescent="0.25">
      <c r="A679" t="s">
        <v>687</v>
      </c>
      <c r="B679" s="48">
        <v>45800</v>
      </c>
      <c r="C679" t="s">
        <v>1012</v>
      </c>
      <c r="D679" t="s">
        <v>1016</v>
      </c>
      <c r="E679" s="47">
        <v>3</v>
      </c>
      <c r="F679" s="47">
        <v>1571</v>
      </c>
      <c r="G679" s="47">
        <v>4713</v>
      </c>
      <c r="H679" s="47" t="s">
        <v>1030</v>
      </c>
      <c r="I679" s="50" t="s">
        <v>1029</v>
      </c>
      <c r="J679" s="48" t="s">
        <v>1031</v>
      </c>
      <c r="K679" s="47" t="str">
        <f t="shared" si="10"/>
        <v/>
      </c>
    </row>
    <row r="680" spans="1:11" x14ac:dyDescent="0.25">
      <c r="A680" t="s">
        <v>688</v>
      </c>
      <c r="B680" s="48">
        <v>45931</v>
      </c>
      <c r="C680" t="s">
        <v>1010</v>
      </c>
      <c r="D680" t="s">
        <v>1016</v>
      </c>
      <c r="E680" s="47">
        <v>139</v>
      </c>
      <c r="F680" s="47">
        <v>1198</v>
      </c>
      <c r="G680" s="47">
        <v>166522</v>
      </c>
      <c r="H680" s="47" t="s">
        <v>1030</v>
      </c>
      <c r="I680" s="50" t="s">
        <v>1028</v>
      </c>
      <c r="J680" s="48">
        <v>45940</v>
      </c>
      <c r="K680" s="47">
        <f t="shared" si="10"/>
        <v>9</v>
      </c>
    </row>
    <row r="681" spans="1:11" x14ac:dyDescent="0.25">
      <c r="A681" t="s">
        <v>689</v>
      </c>
      <c r="B681" s="48">
        <v>45660</v>
      </c>
      <c r="C681" t="s">
        <v>1014</v>
      </c>
      <c r="D681" t="s">
        <v>1015</v>
      </c>
      <c r="E681" s="47">
        <v>441</v>
      </c>
      <c r="F681" s="47">
        <v>124</v>
      </c>
      <c r="G681" s="47">
        <v>54684</v>
      </c>
      <c r="H681" s="47" t="s">
        <v>1025</v>
      </c>
      <c r="I681" s="50" t="s">
        <v>1026</v>
      </c>
      <c r="J681" s="48" t="s">
        <v>1031</v>
      </c>
      <c r="K681" s="47" t="str">
        <f t="shared" si="10"/>
        <v/>
      </c>
    </row>
    <row r="682" spans="1:11" x14ac:dyDescent="0.25">
      <c r="A682" t="s">
        <v>690</v>
      </c>
      <c r="B682" s="48">
        <v>45895</v>
      </c>
      <c r="C682" t="s">
        <v>1010</v>
      </c>
      <c r="D682" t="s">
        <v>1019</v>
      </c>
      <c r="E682" s="47">
        <v>406</v>
      </c>
      <c r="F682" s="47">
        <v>931</v>
      </c>
      <c r="G682" s="47">
        <v>377986</v>
      </c>
      <c r="H682" s="47" t="s">
        <v>1027</v>
      </c>
      <c r="I682" s="50" t="s">
        <v>1026</v>
      </c>
      <c r="J682" s="48" t="s">
        <v>1031</v>
      </c>
      <c r="K682" s="47" t="str">
        <f t="shared" si="10"/>
        <v/>
      </c>
    </row>
    <row r="683" spans="1:11" x14ac:dyDescent="0.25">
      <c r="A683" t="s">
        <v>691</v>
      </c>
      <c r="B683" s="48">
        <v>45684</v>
      </c>
      <c r="C683" t="s">
        <v>1010</v>
      </c>
      <c r="D683" t="s">
        <v>1020</v>
      </c>
      <c r="E683" s="47">
        <v>256</v>
      </c>
      <c r="F683" s="47">
        <v>1730</v>
      </c>
      <c r="G683" s="47">
        <v>442880</v>
      </c>
      <c r="H683" s="47" t="s">
        <v>1027</v>
      </c>
      <c r="I683" s="50" t="s">
        <v>1028</v>
      </c>
      <c r="J683" s="48">
        <v>45692</v>
      </c>
      <c r="K683" s="47">
        <f t="shared" si="10"/>
        <v>8</v>
      </c>
    </row>
    <row r="684" spans="1:11" x14ac:dyDescent="0.25">
      <c r="A684" t="s">
        <v>692</v>
      </c>
      <c r="B684" s="48">
        <v>45906</v>
      </c>
      <c r="C684" t="s">
        <v>1013</v>
      </c>
      <c r="D684" t="s">
        <v>1018</v>
      </c>
      <c r="E684" s="47">
        <v>475</v>
      </c>
      <c r="F684" s="47">
        <v>375</v>
      </c>
      <c r="G684" s="47">
        <v>178125</v>
      </c>
      <c r="H684" s="47" t="s">
        <v>1027</v>
      </c>
      <c r="I684" s="50" t="s">
        <v>1026</v>
      </c>
      <c r="J684" s="48" t="s">
        <v>1031</v>
      </c>
      <c r="K684" s="47" t="str">
        <f t="shared" si="10"/>
        <v/>
      </c>
    </row>
    <row r="685" spans="1:11" x14ac:dyDescent="0.25">
      <c r="A685" t="s">
        <v>693</v>
      </c>
      <c r="B685" s="48">
        <v>45688</v>
      </c>
      <c r="C685" t="s">
        <v>1014</v>
      </c>
      <c r="D685" t="s">
        <v>1024</v>
      </c>
      <c r="E685" s="47">
        <v>412</v>
      </c>
      <c r="F685" s="47">
        <v>1523</v>
      </c>
      <c r="G685" s="47">
        <v>627476</v>
      </c>
      <c r="H685" s="47" t="s">
        <v>1025</v>
      </c>
      <c r="I685" s="50" t="s">
        <v>1028</v>
      </c>
      <c r="J685" s="48">
        <v>45702</v>
      </c>
      <c r="K685" s="47">
        <f t="shared" si="10"/>
        <v>14</v>
      </c>
    </row>
    <row r="686" spans="1:11" x14ac:dyDescent="0.25">
      <c r="A686" t="s">
        <v>694</v>
      </c>
      <c r="B686" s="48">
        <v>45706</v>
      </c>
      <c r="C686" t="s">
        <v>1010</v>
      </c>
      <c r="D686" t="s">
        <v>1017</v>
      </c>
      <c r="E686" s="47">
        <v>473</v>
      </c>
      <c r="F686" s="47">
        <v>538</v>
      </c>
      <c r="G686" s="47">
        <v>254474</v>
      </c>
      <c r="H686" s="47" t="s">
        <v>1027</v>
      </c>
      <c r="I686" s="50" t="s">
        <v>1026</v>
      </c>
      <c r="J686" s="48" t="s">
        <v>1031</v>
      </c>
      <c r="K686" s="47" t="str">
        <f t="shared" si="10"/>
        <v/>
      </c>
    </row>
    <row r="687" spans="1:11" x14ac:dyDescent="0.25">
      <c r="A687" t="s">
        <v>695</v>
      </c>
      <c r="B687" s="48">
        <v>45944</v>
      </c>
      <c r="C687" t="s">
        <v>1010</v>
      </c>
      <c r="D687" t="s">
        <v>1018</v>
      </c>
      <c r="E687" s="47">
        <v>218</v>
      </c>
      <c r="F687" s="47">
        <v>241</v>
      </c>
      <c r="G687" s="47">
        <v>52538</v>
      </c>
      <c r="H687" s="47" t="s">
        <v>1030</v>
      </c>
      <c r="I687" s="50" t="s">
        <v>1028</v>
      </c>
      <c r="J687" s="48">
        <v>45956</v>
      </c>
      <c r="K687" s="47">
        <f t="shared" si="10"/>
        <v>12</v>
      </c>
    </row>
    <row r="688" spans="1:11" x14ac:dyDescent="0.25">
      <c r="A688" t="s">
        <v>696</v>
      </c>
      <c r="B688" s="48">
        <v>45764</v>
      </c>
      <c r="C688" t="s">
        <v>1013</v>
      </c>
      <c r="D688" t="s">
        <v>1019</v>
      </c>
      <c r="E688" s="47">
        <v>174</v>
      </c>
      <c r="F688" s="47">
        <v>874</v>
      </c>
      <c r="G688" s="47">
        <v>152076</v>
      </c>
      <c r="H688" s="47" t="s">
        <v>1027</v>
      </c>
      <c r="I688" s="50" t="s">
        <v>1028</v>
      </c>
      <c r="J688" s="48">
        <v>45773</v>
      </c>
      <c r="K688" s="47">
        <f t="shared" si="10"/>
        <v>9</v>
      </c>
    </row>
    <row r="689" spans="1:11" x14ac:dyDescent="0.25">
      <c r="A689" t="s">
        <v>697</v>
      </c>
      <c r="B689" s="48">
        <v>45892</v>
      </c>
      <c r="C689" t="s">
        <v>1013</v>
      </c>
      <c r="D689" t="s">
        <v>1017</v>
      </c>
      <c r="E689" s="47">
        <v>423</v>
      </c>
      <c r="F689" s="47">
        <v>748</v>
      </c>
      <c r="G689" s="47">
        <v>316404</v>
      </c>
      <c r="H689" s="47" t="s">
        <v>1027</v>
      </c>
      <c r="I689" s="50" t="s">
        <v>1026</v>
      </c>
      <c r="J689" s="48" t="s">
        <v>1031</v>
      </c>
      <c r="K689" s="47" t="str">
        <f t="shared" si="10"/>
        <v/>
      </c>
    </row>
    <row r="690" spans="1:11" x14ac:dyDescent="0.25">
      <c r="A690" t="s">
        <v>698</v>
      </c>
      <c r="B690" s="48">
        <v>45824</v>
      </c>
      <c r="C690" t="s">
        <v>1011</v>
      </c>
      <c r="D690" t="s">
        <v>1024</v>
      </c>
      <c r="E690" s="47">
        <v>23</v>
      </c>
      <c r="F690" s="47">
        <v>791</v>
      </c>
      <c r="G690" s="47">
        <v>18193</v>
      </c>
      <c r="H690" s="47" t="s">
        <v>1027</v>
      </c>
      <c r="I690" s="50" t="s">
        <v>1026</v>
      </c>
      <c r="J690" s="48" t="s">
        <v>1031</v>
      </c>
      <c r="K690" s="47" t="str">
        <f t="shared" si="10"/>
        <v/>
      </c>
    </row>
    <row r="691" spans="1:11" x14ac:dyDescent="0.25">
      <c r="A691" t="s">
        <v>699</v>
      </c>
      <c r="B691" s="48">
        <v>45794</v>
      </c>
      <c r="C691" t="s">
        <v>1010</v>
      </c>
      <c r="D691" t="s">
        <v>1023</v>
      </c>
      <c r="E691" s="47">
        <v>32</v>
      </c>
      <c r="F691" s="47">
        <v>1620</v>
      </c>
      <c r="G691" s="47">
        <v>51840</v>
      </c>
      <c r="H691" s="47" t="s">
        <v>1025</v>
      </c>
      <c r="I691" s="50" t="s">
        <v>1028</v>
      </c>
      <c r="J691" s="48">
        <v>45804</v>
      </c>
      <c r="K691" s="47">
        <f t="shared" si="10"/>
        <v>10</v>
      </c>
    </row>
    <row r="692" spans="1:11" x14ac:dyDescent="0.25">
      <c r="A692" t="s">
        <v>700</v>
      </c>
      <c r="B692" s="48">
        <v>45749</v>
      </c>
      <c r="C692" t="s">
        <v>1014</v>
      </c>
      <c r="D692" t="s">
        <v>1019</v>
      </c>
      <c r="E692" s="47">
        <v>209</v>
      </c>
      <c r="F692" s="47">
        <v>1612</v>
      </c>
      <c r="G692" s="47">
        <v>336908</v>
      </c>
      <c r="H692" s="47" t="s">
        <v>1027</v>
      </c>
      <c r="I692" s="50" t="s">
        <v>1029</v>
      </c>
      <c r="J692" s="48" t="s">
        <v>1031</v>
      </c>
      <c r="K692" s="47" t="str">
        <f t="shared" si="10"/>
        <v/>
      </c>
    </row>
    <row r="693" spans="1:11" x14ac:dyDescent="0.25">
      <c r="A693" t="s">
        <v>701</v>
      </c>
      <c r="B693" s="48">
        <v>45837</v>
      </c>
      <c r="C693" t="s">
        <v>1011</v>
      </c>
      <c r="D693" t="s">
        <v>1023</v>
      </c>
      <c r="E693" s="47">
        <v>233</v>
      </c>
      <c r="F693" s="47">
        <v>1926</v>
      </c>
      <c r="G693" s="47">
        <v>448758</v>
      </c>
      <c r="H693" s="47" t="s">
        <v>1027</v>
      </c>
      <c r="I693" s="50" t="s">
        <v>1026</v>
      </c>
      <c r="J693" s="48" t="s">
        <v>1031</v>
      </c>
      <c r="K693" s="47" t="str">
        <f t="shared" si="10"/>
        <v/>
      </c>
    </row>
    <row r="694" spans="1:11" x14ac:dyDescent="0.25">
      <c r="A694" t="s">
        <v>702</v>
      </c>
      <c r="B694" s="48">
        <v>45876</v>
      </c>
      <c r="C694" t="s">
        <v>1012</v>
      </c>
      <c r="D694" t="s">
        <v>1018</v>
      </c>
      <c r="E694" s="47">
        <v>455</v>
      </c>
      <c r="F694" s="47">
        <v>886</v>
      </c>
      <c r="G694" s="47">
        <v>403130</v>
      </c>
      <c r="H694" s="47" t="s">
        <v>1030</v>
      </c>
      <c r="I694" s="50" t="s">
        <v>1028</v>
      </c>
      <c r="J694" s="48">
        <v>45883</v>
      </c>
      <c r="K694" s="47">
        <f t="shared" si="10"/>
        <v>7</v>
      </c>
    </row>
    <row r="695" spans="1:11" x14ac:dyDescent="0.25">
      <c r="A695" t="s">
        <v>703</v>
      </c>
      <c r="B695" s="48">
        <v>45913</v>
      </c>
      <c r="C695" t="s">
        <v>1012</v>
      </c>
      <c r="D695" t="s">
        <v>1019</v>
      </c>
      <c r="E695" s="47">
        <v>312</v>
      </c>
      <c r="F695" s="47">
        <v>1636</v>
      </c>
      <c r="G695" s="47">
        <v>510432</v>
      </c>
      <c r="H695" s="47" t="s">
        <v>1025</v>
      </c>
      <c r="I695" s="50" t="s">
        <v>1026</v>
      </c>
      <c r="J695" s="48" t="s">
        <v>1031</v>
      </c>
      <c r="K695" s="47" t="str">
        <f t="shared" si="10"/>
        <v/>
      </c>
    </row>
    <row r="696" spans="1:11" x14ac:dyDescent="0.25">
      <c r="A696" t="s">
        <v>704</v>
      </c>
      <c r="B696" s="48">
        <v>45928</v>
      </c>
      <c r="C696" t="s">
        <v>1010</v>
      </c>
      <c r="D696" t="s">
        <v>1018</v>
      </c>
      <c r="E696" s="47">
        <v>249</v>
      </c>
      <c r="F696" s="47">
        <v>1485</v>
      </c>
      <c r="G696" s="47">
        <v>369765</v>
      </c>
      <c r="H696" s="47" t="s">
        <v>1027</v>
      </c>
      <c r="I696" s="50" t="s">
        <v>1029</v>
      </c>
      <c r="J696" s="48" t="s">
        <v>1031</v>
      </c>
      <c r="K696" s="47" t="str">
        <f t="shared" si="10"/>
        <v/>
      </c>
    </row>
    <row r="697" spans="1:11" x14ac:dyDescent="0.25">
      <c r="A697" t="s">
        <v>705</v>
      </c>
      <c r="B697" s="48">
        <v>45677</v>
      </c>
      <c r="C697" t="s">
        <v>1013</v>
      </c>
      <c r="D697" t="s">
        <v>1015</v>
      </c>
      <c r="E697" s="47">
        <v>447</v>
      </c>
      <c r="F697" s="47">
        <v>1034</v>
      </c>
      <c r="G697" s="47">
        <v>462198</v>
      </c>
      <c r="H697" s="47" t="s">
        <v>1030</v>
      </c>
      <c r="I697" s="50" t="s">
        <v>1026</v>
      </c>
      <c r="J697" s="48" t="s">
        <v>1031</v>
      </c>
      <c r="K697" s="47" t="str">
        <f t="shared" si="10"/>
        <v/>
      </c>
    </row>
    <row r="698" spans="1:11" x14ac:dyDescent="0.25">
      <c r="A698" t="s">
        <v>706</v>
      </c>
      <c r="B698" s="48">
        <v>45785</v>
      </c>
      <c r="C698" t="s">
        <v>1012</v>
      </c>
      <c r="D698" t="s">
        <v>1017</v>
      </c>
      <c r="E698" s="47">
        <v>97</v>
      </c>
      <c r="F698" s="47">
        <v>458</v>
      </c>
      <c r="G698" s="47">
        <v>44426</v>
      </c>
      <c r="H698" s="47" t="s">
        <v>1030</v>
      </c>
      <c r="I698" s="50" t="s">
        <v>1028</v>
      </c>
      <c r="J698" s="48">
        <v>45798</v>
      </c>
      <c r="K698" s="47">
        <f t="shared" si="10"/>
        <v>13</v>
      </c>
    </row>
    <row r="699" spans="1:11" x14ac:dyDescent="0.25">
      <c r="A699" t="s">
        <v>707</v>
      </c>
      <c r="B699" s="48">
        <v>45988</v>
      </c>
      <c r="C699" t="s">
        <v>1010</v>
      </c>
      <c r="D699" t="s">
        <v>1020</v>
      </c>
      <c r="E699" s="47">
        <v>372</v>
      </c>
      <c r="F699" s="47">
        <v>1679</v>
      </c>
      <c r="G699" s="47">
        <v>624588</v>
      </c>
      <c r="H699" s="47" t="s">
        <v>1027</v>
      </c>
      <c r="I699" s="50" t="s">
        <v>1028</v>
      </c>
      <c r="J699" s="48">
        <v>45997</v>
      </c>
      <c r="K699" s="47">
        <f t="shared" si="10"/>
        <v>9</v>
      </c>
    </row>
    <row r="700" spans="1:11" x14ac:dyDescent="0.25">
      <c r="A700" t="s">
        <v>708</v>
      </c>
      <c r="B700" s="48">
        <v>45741</v>
      </c>
      <c r="C700" t="s">
        <v>1010</v>
      </c>
      <c r="D700" t="s">
        <v>1020</v>
      </c>
      <c r="E700" s="47">
        <v>434</v>
      </c>
      <c r="F700" s="47">
        <v>1436</v>
      </c>
      <c r="G700" s="47">
        <v>623224</v>
      </c>
      <c r="H700" s="47" t="s">
        <v>1025</v>
      </c>
      <c r="I700" s="50" t="s">
        <v>1028</v>
      </c>
      <c r="J700" s="48">
        <v>45747</v>
      </c>
      <c r="K700" s="47">
        <f t="shared" si="10"/>
        <v>6</v>
      </c>
    </row>
    <row r="701" spans="1:11" x14ac:dyDescent="0.25">
      <c r="A701" t="s">
        <v>709</v>
      </c>
      <c r="B701" s="48">
        <v>45950</v>
      </c>
      <c r="C701" t="s">
        <v>1010</v>
      </c>
      <c r="D701" t="s">
        <v>1015</v>
      </c>
      <c r="E701" s="47">
        <v>301</v>
      </c>
      <c r="F701" s="47">
        <v>261</v>
      </c>
      <c r="G701" s="47">
        <v>78561</v>
      </c>
      <c r="H701" s="47" t="s">
        <v>1027</v>
      </c>
      <c r="I701" s="50" t="s">
        <v>1028</v>
      </c>
      <c r="J701" s="48">
        <v>45961</v>
      </c>
      <c r="K701" s="47">
        <f t="shared" si="10"/>
        <v>11</v>
      </c>
    </row>
    <row r="702" spans="1:11" x14ac:dyDescent="0.25">
      <c r="A702" t="s">
        <v>710</v>
      </c>
      <c r="B702" s="48">
        <v>45875</v>
      </c>
      <c r="C702" t="s">
        <v>1011</v>
      </c>
      <c r="D702" t="s">
        <v>1021</v>
      </c>
      <c r="E702" s="47">
        <v>321</v>
      </c>
      <c r="F702" s="47">
        <v>792</v>
      </c>
      <c r="G702" s="47">
        <v>254232</v>
      </c>
      <c r="H702" s="47" t="s">
        <v>1025</v>
      </c>
      <c r="I702" s="50" t="s">
        <v>1026</v>
      </c>
      <c r="J702" s="48" t="s">
        <v>1031</v>
      </c>
      <c r="K702" s="47" t="str">
        <f t="shared" si="10"/>
        <v/>
      </c>
    </row>
    <row r="703" spans="1:11" x14ac:dyDescent="0.25">
      <c r="A703" t="s">
        <v>711</v>
      </c>
      <c r="B703" s="48">
        <v>45734</v>
      </c>
      <c r="C703" t="s">
        <v>1010</v>
      </c>
      <c r="D703" t="s">
        <v>1019</v>
      </c>
      <c r="E703" s="47">
        <v>359</v>
      </c>
      <c r="F703" s="47">
        <v>1429</v>
      </c>
      <c r="G703" s="47">
        <v>513011</v>
      </c>
      <c r="H703" s="47" t="s">
        <v>1030</v>
      </c>
      <c r="I703" s="50" t="s">
        <v>1029</v>
      </c>
      <c r="J703" s="48" t="s">
        <v>1031</v>
      </c>
      <c r="K703" s="47" t="str">
        <f t="shared" si="10"/>
        <v/>
      </c>
    </row>
    <row r="704" spans="1:11" x14ac:dyDescent="0.25">
      <c r="A704" t="s">
        <v>712</v>
      </c>
      <c r="B704" s="48">
        <v>45754</v>
      </c>
      <c r="C704" t="s">
        <v>1013</v>
      </c>
      <c r="D704" t="s">
        <v>1015</v>
      </c>
      <c r="E704" s="47">
        <v>235</v>
      </c>
      <c r="F704" s="47">
        <v>1827</v>
      </c>
      <c r="G704" s="47">
        <v>429345</v>
      </c>
      <c r="H704" s="47" t="s">
        <v>1027</v>
      </c>
      <c r="I704" s="50" t="s">
        <v>1028</v>
      </c>
      <c r="J704" s="48">
        <v>45760</v>
      </c>
      <c r="K704" s="47">
        <f t="shared" si="10"/>
        <v>6</v>
      </c>
    </row>
    <row r="705" spans="1:11" x14ac:dyDescent="0.25">
      <c r="A705" t="s">
        <v>713</v>
      </c>
      <c r="B705" s="48">
        <v>45743</v>
      </c>
      <c r="C705" t="s">
        <v>1013</v>
      </c>
      <c r="D705" t="s">
        <v>1023</v>
      </c>
      <c r="E705" s="47">
        <v>309</v>
      </c>
      <c r="F705" s="47">
        <v>1609</v>
      </c>
      <c r="G705" s="47">
        <v>497181</v>
      </c>
      <c r="H705" s="47" t="s">
        <v>1025</v>
      </c>
      <c r="I705" s="50" t="s">
        <v>1028</v>
      </c>
      <c r="J705" s="48">
        <v>45752</v>
      </c>
      <c r="K705" s="47">
        <f t="shared" si="10"/>
        <v>9</v>
      </c>
    </row>
    <row r="706" spans="1:11" x14ac:dyDescent="0.25">
      <c r="A706" t="s">
        <v>714</v>
      </c>
      <c r="B706" s="48">
        <v>45956</v>
      </c>
      <c r="C706" t="s">
        <v>1011</v>
      </c>
      <c r="D706" t="s">
        <v>1017</v>
      </c>
      <c r="E706" s="47">
        <v>165</v>
      </c>
      <c r="F706" s="47">
        <v>878</v>
      </c>
      <c r="G706" s="47">
        <v>144870</v>
      </c>
      <c r="H706" s="47" t="s">
        <v>1025</v>
      </c>
      <c r="I706" s="50" t="s">
        <v>1026</v>
      </c>
      <c r="J706" s="48" t="s">
        <v>1031</v>
      </c>
      <c r="K706" s="47" t="str">
        <f t="shared" ref="K706:K769" si="11">IF(J706="", "", J706-B706)</f>
        <v/>
      </c>
    </row>
    <row r="707" spans="1:11" x14ac:dyDescent="0.25">
      <c r="A707" t="s">
        <v>715</v>
      </c>
      <c r="B707" s="48">
        <v>45801</v>
      </c>
      <c r="C707" t="s">
        <v>1012</v>
      </c>
      <c r="D707" t="s">
        <v>1021</v>
      </c>
      <c r="E707" s="47">
        <v>234</v>
      </c>
      <c r="F707" s="47">
        <v>868</v>
      </c>
      <c r="G707" s="47">
        <v>203112</v>
      </c>
      <c r="H707" s="47" t="s">
        <v>1027</v>
      </c>
      <c r="I707" s="50" t="s">
        <v>1026</v>
      </c>
      <c r="J707" s="48" t="s">
        <v>1031</v>
      </c>
      <c r="K707" s="47" t="str">
        <f t="shared" si="11"/>
        <v/>
      </c>
    </row>
    <row r="708" spans="1:11" x14ac:dyDescent="0.25">
      <c r="A708" t="s">
        <v>716</v>
      </c>
      <c r="B708" s="48">
        <v>45942</v>
      </c>
      <c r="C708" t="s">
        <v>1011</v>
      </c>
      <c r="D708" t="s">
        <v>1022</v>
      </c>
      <c r="E708" s="47">
        <v>361</v>
      </c>
      <c r="F708" s="47">
        <v>565</v>
      </c>
      <c r="G708" s="47">
        <v>203965</v>
      </c>
      <c r="H708" s="47" t="s">
        <v>1025</v>
      </c>
      <c r="I708" s="50" t="s">
        <v>1028</v>
      </c>
      <c r="J708" s="48">
        <v>45956</v>
      </c>
      <c r="K708" s="47">
        <f t="shared" si="11"/>
        <v>14</v>
      </c>
    </row>
    <row r="709" spans="1:11" x14ac:dyDescent="0.25">
      <c r="A709" t="s">
        <v>717</v>
      </c>
      <c r="B709" s="48">
        <v>45775</v>
      </c>
      <c r="C709" t="s">
        <v>1013</v>
      </c>
      <c r="D709" t="s">
        <v>1016</v>
      </c>
      <c r="E709" s="47">
        <v>455</v>
      </c>
      <c r="F709" s="47">
        <v>1994</v>
      </c>
      <c r="G709" s="47">
        <v>907270</v>
      </c>
      <c r="H709" s="47" t="s">
        <v>1025</v>
      </c>
      <c r="I709" s="50" t="s">
        <v>1028</v>
      </c>
      <c r="J709" s="48">
        <v>45788</v>
      </c>
      <c r="K709" s="47">
        <f t="shared" si="11"/>
        <v>13</v>
      </c>
    </row>
    <row r="710" spans="1:11" x14ac:dyDescent="0.25">
      <c r="A710" t="s">
        <v>718</v>
      </c>
      <c r="B710" s="48">
        <v>45988</v>
      </c>
      <c r="C710" t="s">
        <v>1014</v>
      </c>
      <c r="D710" t="s">
        <v>1015</v>
      </c>
      <c r="E710" s="47">
        <v>299</v>
      </c>
      <c r="F710" s="47">
        <v>1298</v>
      </c>
      <c r="G710" s="47">
        <v>388102</v>
      </c>
      <c r="H710" s="47" t="s">
        <v>1025</v>
      </c>
      <c r="I710" s="50" t="s">
        <v>1029</v>
      </c>
      <c r="J710" s="48" t="s">
        <v>1031</v>
      </c>
      <c r="K710" s="47" t="str">
        <f t="shared" si="11"/>
        <v/>
      </c>
    </row>
    <row r="711" spans="1:11" x14ac:dyDescent="0.25">
      <c r="A711" t="s">
        <v>719</v>
      </c>
      <c r="B711" s="48">
        <v>45768</v>
      </c>
      <c r="C711" t="s">
        <v>1014</v>
      </c>
      <c r="D711" t="s">
        <v>1019</v>
      </c>
      <c r="E711" s="47">
        <v>481</v>
      </c>
      <c r="F711" s="47">
        <v>202</v>
      </c>
      <c r="G711" s="47">
        <v>97162</v>
      </c>
      <c r="H711" s="47" t="s">
        <v>1025</v>
      </c>
      <c r="I711" s="50" t="s">
        <v>1028</v>
      </c>
      <c r="J711" s="48">
        <v>45778</v>
      </c>
      <c r="K711" s="47">
        <f t="shared" si="11"/>
        <v>10</v>
      </c>
    </row>
    <row r="712" spans="1:11" x14ac:dyDescent="0.25">
      <c r="A712" t="s">
        <v>720</v>
      </c>
      <c r="B712" s="48">
        <v>45907</v>
      </c>
      <c r="C712" t="s">
        <v>1014</v>
      </c>
      <c r="D712" t="s">
        <v>1020</v>
      </c>
      <c r="E712" s="47">
        <v>495</v>
      </c>
      <c r="F712" s="47">
        <v>1467</v>
      </c>
      <c r="G712" s="47">
        <v>726165</v>
      </c>
      <c r="H712" s="47" t="s">
        <v>1027</v>
      </c>
      <c r="I712" s="50" t="s">
        <v>1029</v>
      </c>
      <c r="J712" s="48" t="s">
        <v>1031</v>
      </c>
      <c r="K712" s="47" t="str">
        <f t="shared" si="11"/>
        <v/>
      </c>
    </row>
    <row r="713" spans="1:11" x14ac:dyDescent="0.25">
      <c r="A713" t="s">
        <v>721</v>
      </c>
      <c r="B713" s="48">
        <v>45716</v>
      </c>
      <c r="C713" t="s">
        <v>1014</v>
      </c>
      <c r="D713" t="s">
        <v>1018</v>
      </c>
      <c r="E713" s="47">
        <v>188</v>
      </c>
      <c r="F713" s="47">
        <v>1080</v>
      </c>
      <c r="G713" s="47">
        <v>203040</v>
      </c>
      <c r="H713" s="47" t="s">
        <v>1030</v>
      </c>
      <c r="I713" s="50" t="s">
        <v>1026</v>
      </c>
      <c r="J713" s="48" t="s">
        <v>1031</v>
      </c>
      <c r="K713" s="47" t="str">
        <f t="shared" si="11"/>
        <v/>
      </c>
    </row>
    <row r="714" spans="1:11" x14ac:dyDescent="0.25">
      <c r="A714" t="s">
        <v>722</v>
      </c>
      <c r="B714" s="48">
        <v>45803</v>
      </c>
      <c r="C714" t="s">
        <v>1014</v>
      </c>
      <c r="D714" t="s">
        <v>1018</v>
      </c>
      <c r="E714" s="47">
        <v>148</v>
      </c>
      <c r="F714" s="47">
        <v>1321</v>
      </c>
      <c r="G714" s="47">
        <v>195508</v>
      </c>
      <c r="H714" s="47" t="s">
        <v>1025</v>
      </c>
      <c r="I714" s="50" t="s">
        <v>1029</v>
      </c>
      <c r="J714" s="48" t="s">
        <v>1031</v>
      </c>
      <c r="K714" s="47" t="str">
        <f t="shared" si="11"/>
        <v/>
      </c>
    </row>
    <row r="715" spans="1:11" x14ac:dyDescent="0.25">
      <c r="A715" t="s">
        <v>723</v>
      </c>
      <c r="B715" s="48">
        <v>45906</v>
      </c>
      <c r="C715" t="s">
        <v>1014</v>
      </c>
      <c r="D715" t="s">
        <v>1017</v>
      </c>
      <c r="E715" s="47">
        <v>44</v>
      </c>
      <c r="F715" s="47">
        <v>37</v>
      </c>
      <c r="G715" s="47">
        <v>1628</v>
      </c>
      <c r="H715" s="47" t="s">
        <v>1030</v>
      </c>
      <c r="I715" s="50" t="s">
        <v>1029</v>
      </c>
      <c r="J715" s="48" t="s">
        <v>1031</v>
      </c>
      <c r="K715" s="47" t="str">
        <f t="shared" si="11"/>
        <v/>
      </c>
    </row>
    <row r="716" spans="1:11" x14ac:dyDescent="0.25">
      <c r="A716" t="s">
        <v>724</v>
      </c>
      <c r="B716" s="48">
        <v>45851</v>
      </c>
      <c r="C716" t="s">
        <v>1010</v>
      </c>
      <c r="D716" t="s">
        <v>1017</v>
      </c>
      <c r="E716" s="47">
        <v>365</v>
      </c>
      <c r="F716" s="47">
        <v>352</v>
      </c>
      <c r="G716" s="47">
        <v>128480</v>
      </c>
      <c r="H716" s="47" t="s">
        <v>1025</v>
      </c>
      <c r="I716" s="50" t="s">
        <v>1029</v>
      </c>
      <c r="J716" s="48" t="s">
        <v>1031</v>
      </c>
      <c r="K716" s="47" t="str">
        <f t="shared" si="11"/>
        <v/>
      </c>
    </row>
    <row r="717" spans="1:11" x14ac:dyDescent="0.25">
      <c r="A717" t="s">
        <v>725</v>
      </c>
      <c r="B717" s="48">
        <v>46003</v>
      </c>
      <c r="C717" t="s">
        <v>1014</v>
      </c>
      <c r="D717" t="s">
        <v>1016</v>
      </c>
      <c r="E717" s="47">
        <v>65</v>
      </c>
      <c r="F717" s="47">
        <v>654</v>
      </c>
      <c r="G717" s="47">
        <v>42510</v>
      </c>
      <c r="H717" s="47" t="s">
        <v>1025</v>
      </c>
      <c r="I717" s="50" t="s">
        <v>1029</v>
      </c>
      <c r="J717" s="48" t="s">
        <v>1031</v>
      </c>
      <c r="K717" s="47" t="str">
        <f t="shared" si="11"/>
        <v/>
      </c>
    </row>
    <row r="718" spans="1:11" x14ac:dyDescent="0.25">
      <c r="A718" t="s">
        <v>726</v>
      </c>
      <c r="B718" s="48">
        <v>45929</v>
      </c>
      <c r="C718" t="s">
        <v>1010</v>
      </c>
      <c r="D718" t="s">
        <v>1018</v>
      </c>
      <c r="E718" s="47">
        <v>333</v>
      </c>
      <c r="F718" s="47">
        <v>885</v>
      </c>
      <c r="G718" s="47">
        <v>294705</v>
      </c>
      <c r="H718" s="47" t="s">
        <v>1030</v>
      </c>
      <c r="I718" s="50" t="s">
        <v>1029</v>
      </c>
      <c r="J718" s="48" t="s">
        <v>1031</v>
      </c>
      <c r="K718" s="47" t="str">
        <f t="shared" si="11"/>
        <v/>
      </c>
    </row>
    <row r="719" spans="1:11" x14ac:dyDescent="0.25">
      <c r="A719" t="s">
        <v>727</v>
      </c>
      <c r="B719" s="48">
        <v>45910</v>
      </c>
      <c r="C719" t="s">
        <v>1014</v>
      </c>
      <c r="D719" t="s">
        <v>1015</v>
      </c>
      <c r="E719" s="47">
        <v>443</v>
      </c>
      <c r="F719" s="47">
        <v>1260</v>
      </c>
      <c r="G719" s="47">
        <v>558180</v>
      </c>
      <c r="H719" s="47" t="s">
        <v>1030</v>
      </c>
      <c r="I719" s="50" t="s">
        <v>1026</v>
      </c>
      <c r="J719" s="48" t="s">
        <v>1031</v>
      </c>
      <c r="K719" s="47" t="str">
        <f t="shared" si="11"/>
        <v/>
      </c>
    </row>
    <row r="720" spans="1:11" x14ac:dyDescent="0.25">
      <c r="A720" t="s">
        <v>728</v>
      </c>
      <c r="B720" s="48">
        <v>46020</v>
      </c>
      <c r="C720" t="s">
        <v>1014</v>
      </c>
      <c r="D720" t="s">
        <v>1020</v>
      </c>
      <c r="E720" s="47">
        <v>126</v>
      </c>
      <c r="F720" s="47">
        <v>1990</v>
      </c>
      <c r="G720" s="47">
        <v>250740</v>
      </c>
      <c r="H720" s="47" t="s">
        <v>1030</v>
      </c>
      <c r="I720" s="50" t="s">
        <v>1028</v>
      </c>
      <c r="J720" s="48">
        <v>46030</v>
      </c>
      <c r="K720" s="47">
        <f t="shared" si="11"/>
        <v>10</v>
      </c>
    </row>
    <row r="721" spans="1:11" x14ac:dyDescent="0.25">
      <c r="A721" t="s">
        <v>729</v>
      </c>
      <c r="B721" s="48">
        <v>45683</v>
      </c>
      <c r="C721" t="s">
        <v>1012</v>
      </c>
      <c r="D721" t="s">
        <v>1022</v>
      </c>
      <c r="E721" s="47">
        <v>436</v>
      </c>
      <c r="F721" s="47">
        <v>498</v>
      </c>
      <c r="G721" s="47">
        <v>217128</v>
      </c>
      <c r="H721" s="47" t="s">
        <v>1030</v>
      </c>
      <c r="I721" s="50" t="s">
        <v>1029</v>
      </c>
      <c r="J721" s="48" t="s">
        <v>1031</v>
      </c>
      <c r="K721" s="47" t="str">
        <f t="shared" si="11"/>
        <v/>
      </c>
    </row>
    <row r="722" spans="1:11" x14ac:dyDescent="0.25">
      <c r="A722" t="s">
        <v>730</v>
      </c>
      <c r="B722" s="48">
        <v>45807</v>
      </c>
      <c r="C722" t="s">
        <v>1010</v>
      </c>
      <c r="D722" t="s">
        <v>1020</v>
      </c>
      <c r="E722" s="47">
        <v>62</v>
      </c>
      <c r="F722" s="47">
        <v>173</v>
      </c>
      <c r="G722" s="47">
        <v>10726</v>
      </c>
      <c r="H722" s="47" t="s">
        <v>1025</v>
      </c>
      <c r="I722" s="50" t="s">
        <v>1029</v>
      </c>
      <c r="J722" s="48" t="s">
        <v>1031</v>
      </c>
      <c r="K722" s="47" t="str">
        <f t="shared" si="11"/>
        <v/>
      </c>
    </row>
    <row r="723" spans="1:11" x14ac:dyDescent="0.25">
      <c r="A723" t="s">
        <v>731</v>
      </c>
      <c r="B723" s="48">
        <v>45992</v>
      </c>
      <c r="C723" t="s">
        <v>1010</v>
      </c>
      <c r="D723" t="s">
        <v>1019</v>
      </c>
      <c r="E723" s="47">
        <v>350</v>
      </c>
      <c r="F723" s="47">
        <v>920</v>
      </c>
      <c r="G723" s="47">
        <v>322000</v>
      </c>
      <c r="H723" s="47" t="s">
        <v>1027</v>
      </c>
      <c r="I723" s="50" t="s">
        <v>1026</v>
      </c>
      <c r="J723" s="48" t="s">
        <v>1031</v>
      </c>
      <c r="K723" s="47" t="str">
        <f t="shared" si="11"/>
        <v/>
      </c>
    </row>
    <row r="724" spans="1:11" x14ac:dyDescent="0.25">
      <c r="A724" t="s">
        <v>732</v>
      </c>
      <c r="B724" s="48">
        <v>46001</v>
      </c>
      <c r="C724" t="s">
        <v>1012</v>
      </c>
      <c r="D724" t="s">
        <v>1015</v>
      </c>
      <c r="E724" s="47">
        <v>437</v>
      </c>
      <c r="F724" s="47">
        <v>807</v>
      </c>
      <c r="G724" s="47">
        <v>352659</v>
      </c>
      <c r="H724" s="47" t="s">
        <v>1030</v>
      </c>
      <c r="I724" s="50" t="s">
        <v>1029</v>
      </c>
      <c r="J724" s="48" t="s">
        <v>1031</v>
      </c>
      <c r="K724" s="47" t="str">
        <f t="shared" si="11"/>
        <v/>
      </c>
    </row>
    <row r="725" spans="1:11" x14ac:dyDescent="0.25">
      <c r="A725" t="s">
        <v>733</v>
      </c>
      <c r="B725" s="48">
        <v>45988</v>
      </c>
      <c r="C725" t="s">
        <v>1014</v>
      </c>
      <c r="D725" t="s">
        <v>1023</v>
      </c>
      <c r="E725" s="47">
        <v>160</v>
      </c>
      <c r="F725" s="47">
        <v>167</v>
      </c>
      <c r="G725" s="47">
        <v>26720</v>
      </c>
      <c r="H725" s="47" t="s">
        <v>1030</v>
      </c>
      <c r="I725" s="50" t="s">
        <v>1026</v>
      </c>
      <c r="J725" s="48" t="s">
        <v>1031</v>
      </c>
      <c r="K725" s="47" t="str">
        <f t="shared" si="11"/>
        <v/>
      </c>
    </row>
    <row r="726" spans="1:11" x14ac:dyDescent="0.25">
      <c r="A726" t="s">
        <v>734</v>
      </c>
      <c r="B726" s="48">
        <v>45733</v>
      </c>
      <c r="C726" t="s">
        <v>1013</v>
      </c>
      <c r="D726" t="s">
        <v>1022</v>
      </c>
      <c r="E726" s="47">
        <v>276</v>
      </c>
      <c r="F726" s="47">
        <v>460</v>
      </c>
      <c r="G726" s="47">
        <v>126960</v>
      </c>
      <c r="H726" s="47" t="s">
        <v>1027</v>
      </c>
      <c r="I726" s="50" t="s">
        <v>1028</v>
      </c>
      <c r="J726" s="48">
        <v>45744</v>
      </c>
      <c r="K726" s="47">
        <f t="shared" si="11"/>
        <v>11</v>
      </c>
    </row>
    <row r="727" spans="1:11" x14ac:dyDescent="0.25">
      <c r="A727" t="s">
        <v>735</v>
      </c>
      <c r="B727" s="48">
        <v>45881</v>
      </c>
      <c r="C727" t="s">
        <v>1012</v>
      </c>
      <c r="D727" t="s">
        <v>1022</v>
      </c>
      <c r="E727" s="47">
        <v>364</v>
      </c>
      <c r="F727" s="47">
        <v>1706</v>
      </c>
      <c r="G727" s="47">
        <v>620984</v>
      </c>
      <c r="H727" s="47" t="s">
        <v>1025</v>
      </c>
      <c r="I727" s="50" t="s">
        <v>1028</v>
      </c>
      <c r="J727" s="48">
        <v>45893</v>
      </c>
      <c r="K727" s="47">
        <f t="shared" si="11"/>
        <v>12</v>
      </c>
    </row>
    <row r="728" spans="1:11" x14ac:dyDescent="0.25">
      <c r="A728" t="s">
        <v>736</v>
      </c>
      <c r="B728" s="48">
        <v>45910</v>
      </c>
      <c r="C728" t="s">
        <v>1010</v>
      </c>
      <c r="D728" t="s">
        <v>1023</v>
      </c>
      <c r="E728" s="47">
        <v>193</v>
      </c>
      <c r="F728" s="47">
        <v>1648</v>
      </c>
      <c r="G728" s="47">
        <v>318064</v>
      </c>
      <c r="H728" s="47" t="s">
        <v>1025</v>
      </c>
      <c r="I728" s="50" t="s">
        <v>1028</v>
      </c>
      <c r="J728" s="48">
        <v>45924</v>
      </c>
      <c r="K728" s="47">
        <f t="shared" si="11"/>
        <v>14</v>
      </c>
    </row>
    <row r="729" spans="1:11" x14ac:dyDescent="0.25">
      <c r="A729" t="s">
        <v>737</v>
      </c>
      <c r="B729" s="48">
        <v>45899</v>
      </c>
      <c r="C729" t="s">
        <v>1011</v>
      </c>
      <c r="D729" t="s">
        <v>1020</v>
      </c>
      <c r="E729" s="47">
        <v>244</v>
      </c>
      <c r="F729" s="47">
        <v>701</v>
      </c>
      <c r="G729" s="47">
        <v>171044</v>
      </c>
      <c r="H729" s="47" t="s">
        <v>1025</v>
      </c>
      <c r="I729" s="50" t="s">
        <v>1028</v>
      </c>
      <c r="J729" s="48">
        <v>45906</v>
      </c>
      <c r="K729" s="47">
        <f t="shared" si="11"/>
        <v>7</v>
      </c>
    </row>
    <row r="730" spans="1:11" x14ac:dyDescent="0.25">
      <c r="A730" t="s">
        <v>738</v>
      </c>
      <c r="B730" s="48">
        <v>45859</v>
      </c>
      <c r="C730" t="s">
        <v>1011</v>
      </c>
      <c r="D730" t="s">
        <v>1024</v>
      </c>
      <c r="E730" s="47">
        <v>33</v>
      </c>
      <c r="F730" s="47">
        <v>1272</v>
      </c>
      <c r="G730" s="47">
        <v>41976</v>
      </c>
      <c r="H730" s="47" t="s">
        <v>1030</v>
      </c>
      <c r="I730" s="50" t="s">
        <v>1029</v>
      </c>
      <c r="J730" s="48" t="s">
        <v>1031</v>
      </c>
      <c r="K730" s="47" t="str">
        <f t="shared" si="11"/>
        <v/>
      </c>
    </row>
    <row r="731" spans="1:11" x14ac:dyDescent="0.25">
      <c r="A731" t="s">
        <v>739</v>
      </c>
      <c r="B731" s="48">
        <v>45696</v>
      </c>
      <c r="C731" t="s">
        <v>1014</v>
      </c>
      <c r="D731" t="s">
        <v>1023</v>
      </c>
      <c r="E731" s="47">
        <v>377</v>
      </c>
      <c r="F731" s="47">
        <v>1246</v>
      </c>
      <c r="G731" s="47">
        <v>469742</v>
      </c>
      <c r="H731" s="47" t="s">
        <v>1027</v>
      </c>
      <c r="I731" s="50" t="s">
        <v>1028</v>
      </c>
      <c r="J731" s="48">
        <v>45701</v>
      </c>
      <c r="K731" s="47">
        <f t="shared" si="11"/>
        <v>5</v>
      </c>
    </row>
    <row r="732" spans="1:11" x14ac:dyDescent="0.25">
      <c r="A732" t="s">
        <v>740</v>
      </c>
      <c r="B732" s="48">
        <v>45727</v>
      </c>
      <c r="C732" t="s">
        <v>1012</v>
      </c>
      <c r="D732" t="s">
        <v>1018</v>
      </c>
      <c r="E732" s="47">
        <v>194</v>
      </c>
      <c r="F732" s="47">
        <v>1167</v>
      </c>
      <c r="G732" s="47">
        <v>226398</v>
      </c>
      <c r="H732" s="47" t="s">
        <v>1027</v>
      </c>
      <c r="I732" s="50" t="s">
        <v>1028</v>
      </c>
      <c r="J732" s="48">
        <v>45737</v>
      </c>
      <c r="K732" s="47">
        <f t="shared" si="11"/>
        <v>10</v>
      </c>
    </row>
    <row r="733" spans="1:11" x14ac:dyDescent="0.25">
      <c r="A733" t="s">
        <v>741</v>
      </c>
      <c r="B733" s="48">
        <v>45843</v>
      </c>
      <c r="C733" t="s">
        <v>1014</v>
      </c>
      <c r="D733" t="s">
        <v>1016</v>
      </c>
      <c r="E733" s="47">
        <v>224</v>
      </c>
      <c r="F733" s="47">
        <v>758</v>
      </c>
      <c r="G733" s="47">
        <v>169792</v>
      </c>
      <c r="H733" s="47" t="s">
        <v>1025</v>
      </c>
      <c r="I733" s="50" t="s">
        <v>1028</v>
      </c>
      <c r="J733" s="48">
        <v>45849</v>
      </c>
      <c r="K733" s="47">
        <f t="shared" si="11"/>
        <v>6</v>
      </c>
    </row>
    <row r="734" spans="1:11" x14ac:dyDescent="0.25">
      <c r="A734" t="s">
        <v>742</v>
      </c>
      <c r="B734" s="48">
        <v>45997</v>
      </c>
      <c r="C734" t="s">
        <v>1011</v>
      </c>
      <c r="D734" t="s">
        <v>1024</v>
      </c>
      <c r="E734" s="47">
        <v>144</v>
      </c>
      <c r="F734" s="47">
        <v>1120</v>
      </c>
      <c r="G734" s="47">
        <v>161280</v>
      </c>
      <c r="H734" s="47" t="s">
        <v>1027</v>
      </c>
      <c r="I734" s="50" t="s">
        <v>1026</v>
      </c>
      <c r="J734" s="48" t="s">
        <v>1031</v>
      </c>
      <c r="K734" s="47" t="str">
        <f t="shared" si="11"/>
        <v/>
      </c>
    </row>
    <row r="735" spans="1:11" x14ac:dyDescent="0.25">
      <c r="A735" t="s">
        <v>743</v>
      </c>
      <c r="B735" s="48">
        <v>45864</v>
      </c>
      <c r="C735" t="s">
        <v>1013</v>
      </c>
      <c r="D735" t="s">
        <v>1018</v>
      </c>
      <c r="E735" s="47">
        <v>394</v>
      </c>
      <c r="F735" s="47">
        <v>821</v>
      </c>
      <c r="G735" s="47">
        <v>323474</v>
      </c>
      <c r="H735" s="47" t="s">
        <v>1030</v>
      </c>
      <c r="I735" s="50" t="s">
        <v>1028</v>
      </c>
      <c r="J735" s="48">
        <v>45876</v>
      </c>
      <c r="K735" s="47">
        <f t="shared" si="11"/>
        <v>12</v>
      </c>
    </row>
    <row r="736" spans="1:11" x14ac:dyDescent="0.25">
      <c r="A736" t="s">
        <v>744</v>
      </c>
      <c r="B736" s="48">
        <v>45749</v>
      </c>
      <c r="C736" t="s">
        <v>1011</v>
      </c>
      <c r="D736" t="s">
        <v>1021</v>
      </c>
      <c r="E736" s="47">
        <v>309</v>
      </c>
      <c r="F736" s="47">
        <v>408</v>
      </c>
      <c r="G736" s="47">
        <v>126072</v>
      </c>
      <c r="H736" s="47" t="s">
        <v>1030</v>
      </c>
      <c r="I736" s="50" t="s">
        <v>1028</v>
      </c>
      <c r="J736" s="48">
        <v>45763</v>
      </c>
      <c r="K736" s="47">
        <f t="shared" si="11"/>
        <v>14</v>
      </c>
    </row>
    <row r="737" spans="1:11" x14ac:dyDescent="0.25">
      <c r="A737" t="s">
        <v>745</v>
      </c>
      <c r="B737" s="48">
        <v>45860</v>
      </c>
      <c r="C737" t="s">
        <v>1012</v>
      </c>
      <c r="D737" t="s">
        <v>1015</v>
      </c>
      <c r="E737" s="47">
        <v>450</v>
      </c>
      <c r="F737" s="47">
        <v>170</v>
      </c>
      <c r="G737" s="47">
        <v>76500</v>
      </c>
      <c r="H737" s="47" t="s">
        <v>1025</v>
      </c>
      <c r="I737" s="50" t="s">
        <v>1026</v>
      </c>
      <c r="J737" s="48" t="s">
        <v>1031</v>
      </c>
      <c r="K737" s="47" t="str">
        <f t="shared" si="11"/>
        <v/>
      </c>
    </row>
    <row r="738" spans="1:11" x14ac:dyDescent="0.25">
      <c r="A738" t="s">
        <v>746</v>
      </c>
      <c r="B738" s="48">
        <v>45788</v>
      </c>
      <c r="C738" t="s">
        <v>1011</v>
      </c>
      <c r="D738" t="s">
        <v>1022</v>
      </c>
      <c r="E738" s="47">
        <v>167</v>
      </c>
      <c r="F738" s="47">
        <v>1380</v>
      </c>
      <c r="G738" s="47">
        <v>230460</v>
      </c>
      <c r="H738" s="47" t="s">
        <v>1030</v>
      </c>
      <c r="I738" s="50" t="s">
        <v>1028</v>
      </c>
      <c r="J738" s="48">
        <v>45803</v>
      </c>
      <c r="K738" s="47">
        <f t="shared" si="11"/>
        <v>15</v>
      </c>
    </row>
    <row r="739" spans="1:11" x14ac:dyDescent="0.25">
      <c r="A739" t="s">
        <v>747</v>
      </c>
      <c r="B739" s="48">
        <v>45868</v>
      </c>
      <c r="C739" t="s">
        <v>1011</v>
      </c>
      <c r="D739" t="s">
        <v>1021</v>
      </c>
      <c r="E739" s="47">
        <v>267</v>
      </c>
      <c r="F739" s="47">
        <v>79</v>
      </c>
      <c r="G739" s="47">
        <v>21093</v>
      </c>
      <c r="H739" s="47" t="s">
        <v>1030</v>
      </c>
      <c r="I739" s="50" t="s">
        <v>1028</v>
      </c>
      <c r="J739" s="48">
        <v>45883</v>
      </c>
      <c r="K739" s="47">
        <f t="shared" si="11"/>
        <v>15</v>
      </c>
    </row>
    <row r="740" spans="1:11" x14ac:dyDescent="0.25">
      <c r="A740" t="s">
        <v>748</v>
      </c>
      <c r="B740" s="48">
        <v>45906</v>
      </c>
      <c r="C740" t="s">
        <v>1010</v>
      </c>
      <c r="D740" t="s">
        <v>1022</v>
      </c>
      <c r="E740" s="47">
        <v>361</v>
      </c>
      <c r="F740" s="47">
        <v>28</v>
      </c>
      <c r="G740" s="47">
        <v>10108</v>
      </c>
      <c r="H740" s="47" t="s">
        <v>1027</v>
      </c>
      <c r="I740" s="50" t="s">
        <v>1029</v>
      </c>
      <c r="J740" s="48" t="s">
        <v>1031</v>
      </c>
      <c r="K740" s="47" t="str">
        <f t="shared" si="11"/>
        <v/>
      </c>
    </row>
    <row r="741" spans="1:11" x14ac:dyDescent="0.25">
      <c r="A741" t="s">
        <v>749</v>
      </c>
      <c r="B741" s="48">
        <v>45999</v>
      </c>
      <c r="C741" t="s">
        <v>1010</v>
      </c>
      <c r="D741" t="s">
        <v>1015</v>
      </c>
      <c r="E741" s="47">
        <v>325</v>
      </c>
      <c r="F741" s="47">
        <v>1232</v>
      </c>
      <c r="G741" s="47">
        <v>400400</v>
      </c>
      <c r="H741" s="47" t="s">
        <v>1030</v>
      </c>
      <c r="I741" s="50" t="s">
        <v>1026</v>
      </c>
      <c r="J741" s="48" t="s">
        <v>1031</v>
      </c>
      <c r="K741" s="47" t="str">
        <f t="shared" si="11"/>
        <v/>
      </c>
    </row>
    <row r="742" spans="1:11" x14ac:dyDescent="0.25">
      <c r="A742" t="s">
        <v>750</v>
      </c>
      <c r="B742" s="48">
        <v>45977</v>
      </c>
      <c r="C742" t="s">
        <v>1010</v>
      </c>
      <c r="D742" t="s">
        <v>1022</v>
      </c>
      <c r="E742" s="47">
        <v>277</v>
      </c>
      <c r="F742" s="47">
        <v>1262</v>
      </c>
      <c r="G742" s="47">
        <v>349574</v>
      </c>
      <c r="H742" s="47" t="s">
        <v>1030</v>
      </c>
      <c r="I742" s="50" t="s">
        <v>1029</v>
      </c>
      <c r="J742" s="48" t="s">
        <v>1031</v>
      </c>
      <c r="K742" s="47" t="str">
        <f t="shared" si="11"/>
        <v/>
      </c>
    </row>
    <row r="743" spans="1:11" x14ac:dyDescent="0.25">
      <c r="A743" t="s">
        <v>751</v>
      </c>
      <c r="B743" s="48">
        <v>45832</v>
      </c>
      <c r="C743" t="s">
        <v>1014</v>
      </c>
      <c r="D743" t="s">
        <v>1022</v>
      </c>
      <c r="E743" s="47">
        <v>155</v>
      </c>
      <c r="F743" s="47">
        <v>1563</v>
      </c>
      <c r="G743" s="47">
        <v>242265</v>
      </c>
      <c r="H743" s="47" t="s">
        <v>1025</v>
      </c>
      <c r="I743" s="50" t="s">
        <v>1026</v>
      </c>
      <c r="J743" s="48" t="s">
        <v>1031</v>
      </c>
      <c r="K743" s="47" t="str">
        <f t="shared" si="11"/>
        <v/>
      </c>
    </row>
    <row r="744" spans="1:11" x14ac:dyDescent="0.25">
      <c r="A744" t="s">
        <v>752</v>
      </c>
      <c r="B744" s="48">
        <v>46028</v>
      </c>
      <c r="C744" t="s">
        <v>1011</v>
      </c>
      <c r="D744" t="s">
        <v>1020</v>
      </c>
      <c r="E744" s="47">
        <v>46</v>
      </c>
      <c r="F744" s="47">
        <v>343</v>
      </c>
      <c r="G744" s="47">
        <v>15778</v>
      </c>
      <c r="H744" s="47" t="s">
        <v>1025</v>
      </c>
      <c r="I744" s="50" t="s">
        <v>1029</v>
      </c>
      <c r="J744" s="48" t="s">
        <v>1031</v>
      </c>
      <c r="K744" s="47" t="str">
        <f t="shared" si="11"/>
        <v/>
      </c>
    </row>
    <row r="745" spans="1:11" x14ac:dyDescent="0.25">
      <c r="A745" t="s">
        <v>753</v>
      </c>
      <c r="B745" s="48">
        <v>45840</v>
      </c>
      <c r="C745" t="s">
        <v>1011</v>
      </c>
      <c r="D745" t="s">
        <v>1015</v>
      </c>
      <c r="E745" s="47">
        <v>309</v>
      </c>
      <c r="F745" s="47">
        <v>1912</v>
      </c>
      <c r="G745" s="47">
        <v>590808</v>
      </c>
      <c r="H745" s="47" t="s">
        <v>1025</v>
      </c>
      <c r="I745" s="50" t="s">
        <v>1029</v>
      </c>
      <c r="J745" s="48" t="s">
        <v>1031</v>
      </c>
      <c r="K745" s="47" t="str">
        <f t="shared" si="11"/>
        <v/>
      </c>
    </row>
    <row r="746" spans="1:11" x14ac:dyDescent="0.25">
      <c r="A746" t="s">
        <v>754</v>
      </c>
      <c r="B746" s="48">
        <v>45960</v>
      </c>
      <c r="C746" t="s">
        <v>1014</v>
      </c>
      <c r="D746" t="s">
        <v>1020</v>
      </c>
      <c r="E746" s="47">
        <v>313</v>
      </c>
      <c r="F746" s="47">
        <v>1137</v>
      </c>
      <c r="G746" s="47">
        <v>355881</v>
      </c>
      <c r="H746" s="47" t="s">
        <v>1025</v>
      </c>
      <c r="I746" s="50" t="s">
        <v>1028</v>
      </c>
      <c r="J746" s="48">
        <v>45967</v>
      </c>
      <c r="K746" s="47">
        <f t="shared" si="11"/>
        <v>7</v>
      </c>
    </row>
    <row r="747" spans="1:11" x14ac:dyDescent="0.25">
      <c r="A747" t="s">
        <v>755</v>
      </c>
      <c r="B747" s="48">
        <v>45929</v>
      </c>
      <c r="C747" t="s">
        <v>1012</v>
      </c>
      <c r="D747" t="s">
        <v>1021</v>
      </c>
      <c r="E747" s="47">
        <v>156</v>
      </c>
      <c r="F747" s="47">
        <v>769</v>
      </c>
      <c r="G747" s="47">
        <v>119964</v>
      </c>
      <c r="H747" s="47" t="s">
        <v>1030</v>
      </c>
      <c r="I747" s="50" t="s">
        <v>1028</v>
      </c>
      <c r="J747" s="48">
        <v>45943</v>
      </c>
      <c r="K747" s="47">
        <f t="shared" si="11"/>
        <v>14</v>
      </c>
    </row>
    <row r="748" spans="1:11" x14ac:dyDescent="0.25">
      <c r="A748" t="s">
        <v>756</v>
      </c>
      <c r="B748" s="48">
        <v>45969</v>
      </c>
      <c r="C748" t="s">
        <v>1011</v>
      </c>
      <c r="D748" t="s">
        <v>1023</v>
      </c>
      <c r="E748" s="47">
        <v>330</v>
      </c>
      <c r="F748" s="47">
        <v>568</v>
      </c>
      <c r="G748" s="47">
        <v>187440</v>
      </c>
      <c r="H748" s="47" t="s">
        <v>1027</v>
      </c>
      <c r="I748" s="50" t="s">
        <v>1026</v>
      </c>
      <c r="J748" s="48" t="s">
        <v>1031</v>
      </c>
      <c r="K748" s="47" t="str">
        <f t="shared" si="11"/>
        <v/>
      </c>
    </row>
    <row r="749" spans="1:11" x14ac:dyDescent="0.25">
      <c r="A749" t="s">
        <v>757</v>
      </c>
      <c r="B749" s="48">
        <v>46046</v>
      </c>
      <c r="C749" t="s">
        <v>1012</v>
      </c>
      <c r="D749" t="s">
        <v>1024</v>
      </c>
      <c r="E749" s="47">
        <v>124</v>
      </c>
      <c r="F749" s="47">
        <v>1301</v>
      </c>
      <c r="G749" s="47">
        <v>161324</v>
      </c>
      <c r="H749" s="47" t="s">
        <v>1030</v>
      </c>
      <c r="I749" s="50" t="s">
        <v>1026</v>
      </c>
      <c r="J749" s="48" t="s">
        <v>1031</v>
      </c>
      <c r="K749" s="47" t="str">
        <f t="shared" si="11"/>
        <v/>
      </c>
    </row>
    <row r="750" spans="1:11" x14ac:dyDescent="0.25">
      <c r="A750" t="s">
        <v>758</v>
      </c>
      <c r="B750" s="48">
        <v>45979</v>
      </c>
      <c r="C750" t="s">
        <v>1012</v>
      </c>
      <c r="D750" t="s">
        <v>1017</v>
      </c>
      <c r="E750" s="47">
        <v>414</v>
      </c>
      <c r="F750" s="47">
        <v>1166</v>
      </c>
      <c r="G750" s="47">
        <v>482724</v>
      </c>
      <c r="H750" s="47" t="s">
        <v>1030</v>
      </c>
      <c r="I750" s="50" t="s">
        <v>1028</v>
      </c>
      <c r="J750" s="48">
        <v>45993</v>
      </c>
      <c r="K750" s="47">
        <f t="shared" si="11"/>
        <v>14</v>
      </c>
    </row>
    <row r="751" spans="1:11" x14ac:dyDescent="0.25">
      <c r="A751" t="s">
        <v>759</v>
      </c>
      <c r="B751" s="48">
        <v>45704</v>
      </c>
      <c r="C751" t="s">
        <v>1010</v>
      </c>
      <c r="D751" t="s">
        <v>1019</v>
      </c>
      <c r="E751" s="47">
        <v>235</v>
      </c>
      <c r="F751" s="47">
        <v>741</v>
      </c>
      <c r="G751" s="47">
        <v>174135</v>
      </c>
      <c r="H751" s="47" t="s">
        <v>1030</v>
      </c>
      <c r="I751" s="50" t="s">
        <v>1026</v>
      </c>
      <c r="J751" s="48" t="s">
        <v>1031</v>
      </c>
      <c r="K751" s="47" t="str">
        <f t="shared" si="11"/>
        <v/>
      </c>
    </row>
    <row r="752" spans="1:11" x14ac:dyDescent="0.25">
      <c r="A752" t="s">
        <v>760</v>
      </c>
      <c r="B752" s="48">
        <v>45790</v>
      </c>
      <c r="C752" t="s">
        <v>1011</v>
      </c>
      <c r="D752" t="s">
        <v>1024</v>
      </c>
      <c r="E752" s="47">
        <v>427</v>
      </c>
      <c r="F752" s="47">
        <v>1817</v>
      </c>
      <c r="G752" s="47">
        <v>775859</v>
      </c>
      <c r="H752" s="47" t="s">
        <v>1025</v>
      </c>
      <c r="I752" s="50" t="s">
        <v>1028</v>
      </c>
      <c r="J752" s="48">
        <v>45798</v>
      </c>
      <c r="K752" s="47">
        <f t="shared" si="11"/>
        <v>8</v>
      </c>
    </row>
    <row r="753" spans="1:11" x14ac:dyDescent="0.25">
      <c r="A753" t="s">
        <v>761</v>
      </c>
      <c r="B753" s="48">
        <v>45678</v>
      </c>
      <c r="C753" t="s">
        <v>1011</v>
      </c>
      <c r="D753" t="s">
        <v>1018</v>
      </c>
      <c r="E753" s="47">
        <v>287</v>
      </c>
      <c r="F753" s="47">
        <v>1675</v>
      </c>
      <c r="G753" s="47">
        <v>480725</v>
      </c>
      <c r="H753" s="47" t="s">
        <v>1027</v>
      </c>
      <c r="I753" s="50" t="s">
        <v>1026</v>
      </c>
      <c r="J753" s="48" t="s">
        <v>1031</v>
      </c>
      <c r="K753" s="47" t="str">
        <f t="shared" si="11"/>
        <v/>
      </c>
    </row>
    <row r="754" spans="1:11" x14ac:dyDescent="0.25">
      <c r="A754" t="s">
        <v>762</v>
      </c>
      <c r="B754" s="48">
        <v>45662</v>
      </c>
      <c r="C754" t="s">
        <v>1013</v>
      </c>
      <c r="D754" t="s">
        <v>1017</v>
      </c>
      <c r="E754" s="47">
        <v>335</v>
      </c>
      <c r="F754" s="47">
        <v>1828</v>
      </c>
      <c r="G754" s="47">
        <v>612380</v>
      </c>
      <c r="H754" s="47" t="s">
        <v>1025</v>
      </c>
      <c r="I754" s="50" t="s">
        <v>1028</v>
      </c>
      <c r="J754" s="48">
        <v>45670</v>
      </c>
      <c r="K754" s="47">
        <f t="shared" si="11"/>
        <v>8</v>
      </c>
    </row>
    <row r="755" spans="1:11" x14ac:dyDescent="0.25">
      <c r="A755" t="s">
        <v>763</v>
      </c>
      <c r="B755" s="48">
        <v>45678</v>
      </c>
      <c r="C755" t="s">
        <v>1011</v>
      </c>
      <c r="D755" t="s">
        <v>1024</v>
      </c>
      <c r="E755" s="47">
        <v>402</v>
      </c>
      <c r="F755" s="47">
        <v>408</v>
      </c>
      <c r="G755" s="47">
        <v>164016</v>
      </c>
      <c r="H755" s="47" t="s">
        <v>1025</v>
      </c>
      <c r="I755" s="50" t="s">
        <v>1028</v>
      </c>
      <c r="J755" s="48">
        <v>45691</v>
      </c>
      <c r="K755" s="47">
        <f t="shared" si="11"/>
        <v>13</v>
      </c>
    </row>
    <row r="756" spans="1:11" x14ac:dyDescent="0.25">
      <c r="A756" t="s">
        <v>764</v>
      </c>
      <c r="B756" s="48">
        <v>45866</v>
      </c>
      <c r="C756" t="s">
        <v>1014</v>
      </c>
      <c r="D756" t="s">
        <v>1015</v>
      </c>
      <c r="E756" s="47">
        <v>67</v>
      </c>
      <c r="F756" s="47">
        <v>1960</v>
      </c>
      <c r="G756" s="47">
        <v>131320</v>
      </c>
      <c r="H756" s="47" t="s">
        <v>1030</v>
      </c>
      <c r="I756" s="50" t="s">
        <v>1028</v>
      </c>
      <c r="J756" s="48">
        <v>45871</v>
      </c>
      <c r="K756" s="47">
        <f t="shared" si="11"/>
        <v>5</v>
      </c>
    </row>
    <row r="757" spans="1:11" x14ac:dyDescent="0.25">
      <c r="A757" t="s">
        <v>765</v>
      </c>
      <c r="B757" s="48">
        <v>46018</v>
      </c>
      <c r="C757" t="s">
        <v>1014</v>
      </c>
      <c r="D757" t="s">
        <v>1020</v>
      </c>
      <c r="E757" s="47">
        <v>31</v>
      </c>
      <c r="F757" s="47">
        <v>1123</v>
      </c>
      <c r="G757" s="47">
        <v>34813</v>
      </c>
      <c r="H757" s="47" t="s">
        <v>1030</v>
      </c>
      <c r="I757" s="50" t="s">
        <v>1029</v>
      </c>
      <c r="J757" s="48" t="s">
        <v>1031</v>
      </c>
      <c r="K757" s="47" t="str">
        <f t="shared" si="11"/>
        <v/>
      </c>
    </row>
    <row r="758" spans="1:11" x14ac:dyDescent="0.25">
      <c r="A758" t="s">
        <v>766</v>
      </c>
      <c r="B758" s="48">
        <v>45774</v>
      </c>
      <c r="C758" t="s">
        <v>1013</v>
      </c>
      <c r="D758" t="s">
        <v>1017</v>
      </c>
      <c r="E758" s="47">
        <v>421</v>
      </c>
      <c r="F758" s="47">
        <v>185</v>
      </c>
      <c r="G758" s="47">
        <v>77885</v>
      </c>
      <c r="H758" s="47" t="s">
        <v>1027</v>
      </c>
      <c r="I758" s="50" t="s">
        <v>1026</v>
      </c>
      <c r="J758" s="48" t="s">
        <v>1031</v>
      </c>
      <c r="K758" s="47" t="str">
        <f t="shared" si="11"/>
        <v/>
      </c>
    </row>
    <row r="759" spans="1:11" x14ac:dyDescent="0.25">
      <c r="A759" t="s">
        <v>767</v>
      </c>
      <c r="B759" s="48">
        <v>45923</v>
      </c>
      <c r="C759" t="s">
        <v>1014</v>
      </c>
      <c r="D759" t="s">
        <v>1022</v>
      </c>
      <c r="E759" s="47">
        <v>337</v>
      </c>
      <c r="F759" s="47">
        <v>10</v>
      </c>
      <c r="G759" s="47">
        <v>3370</v>
      </c>
      <c r="H759" s="47" t="s">
        <v>1027</v>
      </c>
      <c r="I759" s="50" t="s">
        <v>1029</v>
      </c>
      <c r="J759" s="48" t="s">
        <v>1031</v>
      </c>
      <c r="K759" s="47" t="str">
        <f t="shared" si="11"/>
        <v/>
      </c>
    </row>
    <row r="760" spans="1:11" x14ac:dyDescent="0.25">
      <c r="A760" t="s">
        <v>768</v>
      </c>
      <c r="B760" s="48">
        <v>45998</v>
      </c>
      <c r="C760" t="s">
        <v>1010</v>
      </c>
      <c r="D760" t="s">
        <v>1021</v>
      </c>
      <c r="E760" s="47">
        <v>31</v>
      </c>
      <c r="F760" s="47">
        <v>1788</v>
      </c>
      <c r="G760" s="47">
        <v>55428</v>
      </c>
      <c r="H760" s="47" t="s">
        <v>1025</v>
      </c>
      <c r="I760" s="50" t="s">
        <v>1028</v>
      </c>
      <c r="J760" s="48">
        <v>46008</v>
      </c>
      <c r="K760" s="47">
        <f t="shared" si="11"/>
        <v>10</v>
      </c>
    </row>
    <row r="761" spans="1:11" x14ac:dyDescent="0.25">
      <c r="A761" t="s">
        <v>769</v>
      </c>
      <c r="B761" s="48">
        <v>46026</v>
      </c>
      <c r="C761" t="s">
        <v>1014</v>
      </c>
      <c r="D761" t="s">
        <v>1022</v>
      </c>
      <c r="E761" s="47">
        <v>39</v>
      </c>
      <c r="F761" s="47">
        <v>287</v>
      </c>
      <c r="G761" s="47">
        <v>11193</v>
      </c>
      <c r="H761" s="47" t="s">
        <v>1025</v>
      </c>
      <c r="I761" s="50" t="s">
        <v>1028</v>
      </c>
      <c r="J761" s="48">
        <v>46039</v>
      </c>
      <c r="K761" s="47">
        <f t="shared" si="11"/>
        <v>13</v>
      </c>
    </row>
    <row r="762" spans="1:11" x14ac:dyDescent="0.25">
      <c r="A762" t="s">
        <v>770</v>
      </c>
      <c r="B762" s="48">
        <v>45910</v>
      </c>
      <c r="C762" t="s">
        <v>1013</v>
      </c>
      <c r="D762" t="s">
        <v>1020</v>
      </c>
      <c r="E762" s="47">
        <v>26</v>
      </c>
      <c r="F762" s="47">
        <v>913</v>
      </c>
      <c r="G762" s="47">
        <v>23738</v>
      </c>
      <c r="H762" s="47" t="s">
        <v>1025</v>
      </c>
      <c r="I762" s="50" t="s">
        <v>1028</v>
      </c>
      <c r="J762" s="48">
        <v>45915</v>
      </c>
      <c r="K762" s="47">
        <f t="shared" si="11"/>
        <v>5</v>
      </c>
    </row>
    <row r="763" spans="1:11" x14ac:dyDescent="0.25">
      <c r="A763" t="s">
        <v>771</v>
      </c>
      <c r="B763" s="48">
        <v>45897</v>
      </c>
      <c r="C763" t="s">
        <v>1012</v>
      </c>
      <c r="D763" t="s">
        <v>1022</v>
      </c>
      <c r="E763" s="47">
        <v>34</v>
      </c>
      <c r="F763" s="47">
        <v>1956</v>
      </c>
      <c r="G763" s="47">
        <v>66504</v>
      </c>
      <c r="H763" s="47" t="s">
        <v>1025</v>
      </c>
      <c r="I763" s="50" t="s">
        <v>1028</v>
      </c>
      <c r="J763" s="48">
        <v>45906</v>
      </c>
      <c r="K763" s="47">
        <f t="shared" si="11"/>
        <v>9</v>
      </c>
    </row>
    <row r="764" spans="1:11" x14ac:dyDescent="0.25">
      <c r="A764" t="s">
        <v>772</v>
      </c>
      <c r="B764" s="48">
        <v>45795</v>
      </c>
      <c r="C764" t="s">
        <v>1010</v>
      </c>
      <c r="D764" t="s">
        <v>1021</v>
      </c>
      <c r="E764" s="47">
        <v>194</v>
      </c>
      <c r="F764" s="47">
        <v>1220</v>
      </c>
      <c r="G764" s="47">
        <v>236680</v>
      </c>
      <c r="H764" s="47" t="s">
        <v>1025</v>
      </c>
      <c r="I764" s="50" t="s">
        <v>1028</v>
      </c>
      <c r="J764" s="48">
        <v>45807</v>
      </c>
      <c r="K764" s="47">
        <f t="shared" si="11"/>
        <v>12</v>
      </c>
    </row>
    <row r="765" spans="1:11" x14ac:dyDescent="0.25">
      <c r="A765" t="s">
        <v>773</v>
      </c>
      <c r="B765" s="48">
        <v>46038</v>
      </c>
      <c r="C765" t="s">
        <v>1011</v>
      </c>
      <c r="D765" t="s">
        <v>1015</v>
      </c>
      <c r="E765" s="47">
        <v>88</v>
      </c>
      <c r="F765" s="47">
        <v>1732</v>
      </c>
      <c r="G765" s="47">
        <v>152416</v>
      </c>
      <c r="H765" s="47" t="s">
        <v>1027</v>
      </c>
      <c r="I765" s="50" t="s">
        <v>1028</v>
      </c>
      <c r="J765" s="48">
        <v>46051</v>
      </c>
      <c r="K765" s="47">
        <f t="shared" si="11"/>
        <v>13</v>
      </c>
    </row>
    <row r="766" spans="1:11" x14ac:dyDescent="0.25">
      <c r="A766" t="s">
        <v>774</v>
      </c>
      <c r="B766" s="48">
        <v>45880</v>
      </c>
      <c r="C766" t="s">
        <v>1010</v>
      </c>
      <c r="D766" t="s">
        <v>1024</v>
      </c>
      <c r="E766" s="47">
        <v>206</v>
      </c>
      <c r="F766" s="47">
        <v>1118</v>
      </c>
      <c r="G766" s="47">
        <v>230308</v>
      </c>
      <c r="H766" s="47" t="s">
        <v>1030</v>
      </c>
      <c r="I766" s="50" t="s">
        <v>1029</v>
      </c>
      <c r="J766" s="48" t="s">
        <v>1031</v>
      </c>
      <c r="K766" s="47" t="str">
        <f t="shared" si="11"/>
        <v/>
      </c>
    </row>
    <row r="767" spans="1:11" x14ac:dyDescent="0.25">
      <c r="A767" t="s">
        <v>775</v>
      </c>
      <c r="B767" s="48">
        <v>45918</v>
      </c>
      <c r="C767" t="s">
        <v>1011</v>
      </c>
      <c r="D767" t="s">
        <v>1015</v>
      </c>
      <c r="E767" s="47">
        <v>492</v>
      </c>
      <c r="F767" s="47">
        <v>830</v>
      </c>
      <c r="G767" s="47">
        <v>408360</v>
      </c>
      <c r="H767" s="47" t="s">
        <v>1025</v>
      </c>
      <c r="I767" s="50" t="s">
        <v>1028</v>
      </c>
      <c r="J767" s="48">
        <v>45931</v>
      </c>
      <c r="K767" s="47">
        <f t="shared" si="11"/>
        <v>13</v>
      </c>
    </row>
    <row r="768" spans="1:11" x14ac:dyDescent="0.25">
      <c r="A768" t="s">
        <v>776</v>
      </c>
      <c r="B768" s="48">
        <v>45869</v>
      </c>
      <c r="C768" t="s">
        <v>1011</v>
      </c>
      <c r="D768" t="s">
        <v>1020</v>
      </c>
      <c r="E768" s="47">
        <v>177</v>
      </c>
      <c r="F768" s="47">
        <v>339</v>
      </c>
      <c r="G768" s="47">
        <v>60003</v>
      </c>
      <c r="H768" s="47" t="s">
        <v>1030</v>
      </c>
      <c r="I768" s="50" t="s">
        <v>1029</v>
      </c>
      <c r="J768" s="48" t="s">
        <v>1031</v>
      </c>
      <c r="K768" s="47" t="str">
        <f t="shared" si="11"/>
        <v/>
      </c>
    </row>
    <row r="769" spans="1:11" x14ac:dyDescent="0.25">
      <c r="A769" t="s">
        <v>777</v>
      </c>
      <c r="B769" s="48">
        <v>45783</v>
      </c>
      <c r="C769" t="s">
        <v>1011</v>
      </c>
      <c r="D769" t="s">
        <v>1024</v>
      </c>
      <c r="E769" s="47">
        <v>413</v>
      </c>
      <c r="F769" s="47">
        <v>267</v>
      </c>
      <c r="G769" s="47">
        <v>110271</v>
      </c>
      <c r="H769" s="47" t="s">
        <v>1025</v>
      </c>
      <c r="I769" s="50" t="s">
        <v>1028</v>
      </c>
      <c r="J769" s="48">
        <v>45793</v>
      </c>
      <c r="K769" s="47">
        <f t="shared" si="11"/>
        <v>10</v>
      </c>
    </row>
    <row r="770" spans="1:11" x14ac:dyDescent="0.25">
      <c r="A770" t="s">
        <v>778</v>
      </c>
      <c r="B770" s="48">
        <v>45821</v>
      </c>
      <c r="C770" t="s">
        <v>1013</v>
      </c>
      <c r="D770" t="s">
        <v>1019</v>
      </c>
      <c r="E770" s="47">
        <v>351</v>
      </c>
      <c r="F770" s="47">
        <v>1994</v>
      </c>
      <c r="G770" s="47">
        <v>699894</v>
      </c>
      <c r="H770" s="47" t="s">
        <v>1025</v>
      </c>
      <c r="I770" s="50" t="s">
        <v>1026</v>
      </c>
      <c r="J770" s="48" t="s">
        <v>1031</v>
      </c>
      <c r="K770" s="47" t="str">
        <f t="shared" ref="K770:K833" si="12">IF(J770="", "", J770-B770)</f>
        <v/>
      </c>
    </row>
    <row r="771" spans="1:11" x14ac:dyDescent="0.25">
      <c r="A771" t="s">
        <v>779</v>
      </c>
      <c r="B771" s="48">
        <v>45705</v>
      </c>
      <c r="C771" t="s">
        <v>1011</v>
      </c>
      <c r="D771" t="s">
        <v>1016</v>
      </c>
      <c r="E771" s="47">
        <v>482</v>
      </c>
      <c r="F771" s="47">
        <v>1118</v>
      </c>
      <c r="G771" s="47">
        <v>538876</v>
      </c>
      <c r="H771" s="47" t="s">
        <v>1027</v>
      </c>
      <c r="I771" s="50" t="s">
        <v>1029</v>
      </c>
      <c r="J771" s="48" t="s">
        <v>1031</v>
      </c>
      <c r="K771" s="47" t="str">
        <f t="shared" si="12"/>
        <v/>
      </c>
    </row>
    <row r="772" spans="1:11" x14ac:dyDescent="0.25">
      <c r="A772" t="s">
        <v>780</v>
      </c>
      <c r="B772" s="48">
        <v>46015</v>
      </c>
      <c r="C772" t="s">
        <v>1010</v>
      </c>
      <c r="D772" t="s">
        <v>1020</v>
      </c>
      <c r="E772" s="47">
        <v>14</v>
      </c>
      <c r="F772" s="47">
        <v>1992</v>
      </c>
      <c r="G772" s="47">
        <v>27888</v>
      </c>
      <c r="H772" s="47" t="s">
        <v>1025</v>
      </c>
      <c r="I772" s="50" t="s">
        <v>1028</v>
      </c>
      <c r="J772" s="48">
        <v>46029</v>
      </c>
      <c r="K772" s="47">
        <f t="shared" si="12"/>
        <v>14</v>
      </c>
    </row>
    <row r="773" spans="1:11" x14ac:dyDescent="0.25">
      <c r="A773" t="s">
        <v>781</v>
      </c>
      <c r="B773" s="48">
        <v>45679</v>
      </c>
      <c r="C773" t="s">
        <v>1014</v>
      </c>
      <c r="D773" t="s">
        <v>1017</v>
      </c>
      <c r="E773" s="47">
        <v>162</v>
      </c>
      <c r="F773" s="47">
        <v>685</v>
      </c>
      <c r="G773" s="47">
        <v>110970</v>
      </c>
      <c r="H773" s="47" t="s">
        <v>1027</v>
      </c>
      <c r="I773" s="50" t="s">
        <v>1026</v>
      </c>
      <c r="J773" s="48" t="s">
        <v>1031</v>
      </c>
      <c r="K773" s="47" t="str">
        <f t="shared" si="12"/>
        <v/>
      </c>
    </row>
    <row r="774" spans="1:11" x14ac:dyDescent="0.25">
      <c r="A774" t="s">
        <v>782</v>
      </c>
      <c r="B774" s="48">
        <v>45865</v>
      </c>
      <c r="C774" t="s">
        <v>1010</v>
      </c>
      <c r="D774" t="s">
        <v>1022</v>
      </c>
      <c r="E774" s="47">
        <v>350</v>
      </c>
      <c r="F774" s="47">
        <v>1609</v>
      </c>
      <c r="G774" s="47">
        <v>563150</v>
      </c>
      <c r="H774" s="47" t="s">
        <v>1027</v>
      </c>
      <c r="I774" s="50" t="s">
        <v>1029</v>
      </c>
      <c r="J774" s="48" t="s">
        <v>1031</v>
      </c>
      <c r="K774" s="47" t="str">
        <f t="shared" si="12"/>
        <v/>
      </c>
    </row>
    <row r="775" spans="1:11" x14ac:dyDescent="0.25">
      <c r="A775" t="s">
        <v>783</v>
      </c>
      <c r="B775" s="48">
        <v>45795</v>
      </c>
      <c r="C775" t="s">
        <v>1010</v>
      </c>
      <c r="D775" t="s">
        <v>1019</v>
      </c>
      <c r="E775" s="47">
        <v>195</v>
      </c>
      <c r="F775" s="47">
        <v>1811</v>
      </c>
      <c r="G775" s="47">
        <v>353145</v>
      </c>
      <c r="H775" s="47" t="s">
        <v>1030</v>
      </c>
      <c r="I775" s="50" t="s">
        <v>1028</v>
      </c>
      <c r="J775" s="48">
        <v>45804</v>
      </c>
      <c r="K775" s="47">
        <f t="shared" si="12"/>
        <v>9</v>
      </c>
    </row>
    <row r="776" spans="1:11" x14ac:dyDescent="0.25">
      <c r="A776" t="s">
        <v>784</v>
      </c>
      <c r="B776" s="48">
        <v>45971</v>
      </c>
      <c r="C776" t="s">
        <v>1010</v>
      </c>
      <c r="D776" t="s">
        <v>1020</v>
      </c>
      <c r="E776" s="47">
        <v>409</v>
      </c>
      <c r="F776" s="47">
        <v>890</v>
      </c>
      <c r="G776" s="47">
        <v>364010</v>
      </c>
      <c r="H776" s="47" t="s">
        <v>1030</v>
      </c>
      <c r="I776" s="50" t="s">
        <v>1029</v>
      </c>
      <c r="J776" s="48" t="s">
        <v>1031</v>
      </c>
      <c r="K776" s="47" t="str">
        <f t="shared" si="12"/>
        <v/>
      </c>
    </row>
    <row r="777" spans="1:11" x14ac:dyDescent="0.25">
      <c r="A777" t="s">
        <v>785</v>
      </c>
      <c r="B777" s="48">
        <v>45995</v>
      </c>
      <c r="C777" t="s">
        <v>1012</v>
      </c>
      <c r="D777" t="s">
        <v>1016</v>
      </c>
      <c r="E777" s="47">
        <v>313</v>
      </c>
      <c r="F777" s="47">
        <v>971</v>
      </c>
      <c r="G777" s="47">
        <v>303923</v>
      </c>
      <c r="H777" s="47" t="s">
        <v>1027</v>
      </c>
      <c r="I777" s="50" t="s">
        <v>1029</v>
      </c>
      <c r="J777" s="48" t="s">
        <v>1031</v>
      </c>
      <c r="K777" s="47" t="str">
        <f t="shared" si="12"/>
        <v/>
      </c>
    </row>
    <row r="778" spans="1:11" x14ac:dyDescent="0.25">
      <c r="A778" t="s">
        <v>786</v>
      </c>
      <c r="B778" s="48">
        <v>46014</v>
      </c>
      <c r="C778" t="s">
        <v>1012</v>
      </c>
      <c r="D778" t="s">
        <v>1018</v>
      </c>
      <c r="E778" s="47">
        <v>313</v>
      </c>
      <c r="F778" s="47">
        <v>1112</v>
      </c>
      <c r="G778" s="47">
        <v>348056</v>
      </c>
      <c r="H778" s="47" t="s">
        <v>1030</v>
      </c>
      <c r="I778" s="50" t="s">
        <v>1026</v>
      </c>
      <c r="J778" s="48" t="s">
        <v>1031</v>
      </c>
      <c r="K778" s="47" t="str">
        <f t="shared" si="12"/>
        <v/>
      </c>
    </row>
    <row r="779" spans="1:11" x14ac:dyDescent="0.25">
      <c r="A779" t="s">
        <v>787</v>
      </c>
      <c r="B779" s="48">
        <v>45973</v>
      </c>
      <c r="C779" t="s">
        <v>1011</v>
      </c>
      <c r="D779" t="s">
        <v>1019</v>
      </c>
      <c r="E779" s="47">
        <v>168</v>
      </c>
      <c r="F779" s="47">
        <v>1415</v>
      </c>
      <c r="G779" s="47">
        <v>237720</v>
      </c>
      <c r="H779" s="47" t="s">
        <v>1027</v>
      </c>
      <c r="I779" s="50" t="s">
        <v>1029</v>
      </c>
      <c r="J779" s="48" t="s">
        <v>1031</v>
      </c>
      <c r="K779" s="47" t="str">
        <f t="shared" si="12"/>
        <v/>
      </c>
    </row>
    <row r="780" spans="1:11" x14ac:dyDescent="0.25">
      <c r="A780" t="s">
        <v>788</v>
      </c>
      <c r="B780" s="48">
        <v>45732</v>
      </c>
      <c r="C780" t="s">
        <v>1010</v>
      </c>
      <c r="D780" t="s">
        <v>1019</v>
      </c>
      <c r="E780" s="47">
        <v>141</v>
      </c>
      <c r="F780" s="47">
        <v>700</v>
      </c>
      <c r="G780" s="47">
        <v>98700</v>
      </c>
      <c r="H780" s="47" t="s">
        <v>1025</v>
      </c>
      <c r="I780" s="50" t="s">
        <v>1028</v>
      </c>
      <c r="J780" s="48">
        <v>45738</v>
      </c>
      <c r="K780" s="47">
        <f t="shared" si="12"/>
        <v>6</v>
      </c>
    </row>
    <row r="781" spans="1:11" x14ac:dyDescent="0.25">
      <c r="A781" t="s">
        <v>789</v>
      </c>
      <c r="B781" s="48">
        <v>45730</v>
      </c>
      <c r="C781" t="s">
        <v>1011</v>
      </c>
      <c r="D781" t="s">
        <v>1017</v>
      </c>
      <c r="E781" s="47">
        <v>38</v>
      </c>
      <c r="F781" s="47">
        <v>389</v>
      </c>
      <c r="G781" s="47">
        <v>14782</v>
      </c>
      <c r="H781" s="47" t="s">
        <v>1027</v>
      </c>
      <c r="I781" s="50" t="s">
        <v>1026</v>
      </c>
      <c r="J781" s="48" t="s">
        <v>1031</v>
      </c>
      <c r="K781" s="47" t="str">
        <f t="shared" si="12"/>
        <v/>
      </c>
    </row>
    <row r="782" spans="1:11" x14ac:dyDescent="0.25">
      <c r="A782" t="s">
        <v>790</v>
      </c>
      <c r="B782" s="48">
        <v>45724</v>
      </c>
      <c r="C782" t="s">
        <v>1011</v>
      </c>
      <c r="D782" t="s">
        <v>1024</v>
      </c>
      <c r="E782" s="47">
        <v>17</v>
      </c>
      <c r="F782" s="47">
        <v>76</v>
      </c>
      <c r="G782" s="47">
        <v>1292</v>
      </c>
      <c r="H782" s="47" t="s">
        <v>1027</v>
      </c>
      <c r="I782" s="50" t="s">
        <v>1026</v>
      </c>
      <c r="J782" s="48" t="s">
        <v>1031</v>
      </c>
      <c r="K782" s="47" t="str">
        <f t="shared" si="12"/>
        <v/>
      </c>
    </row>
    <row r="783" spans="1:11" x14ac:dyDescent="0.25">
      <c r="A783" t="s">
        <v>791</v>
      </c>
      <c r="B783" s="48">
        <v>45976</v>
      </c>
      <c r="C783" t="s">
        <v>1012</v>
      </c>
      <c r="D783" t="s">
        <v>1017</v>
      </c>
      <c r="E783" s="47">
        <v>309</v>
      </c>
      <c r="F783" s="47">
        <v>824</v>
      </c>
      <c r="G783" s="47">
        <v>254616</v>
      </c>
      <c r="H783" s="47" t="s">
        <v>1030</v>
      </c>
      <c r="I783" s="50" t="s">
        <v>1026</v>
      </c>
      <c r="J783" s="48" t="s">
        <v>1031</v>
      </c>
      <c r="K783" s="47" t="str">
        <f t="shared" si="12"/>
        <v/>
      </c>
    </row>
    <row r="784" spans="1:11" x14ac:dyDescent="0.25">
      <c r="A784" t="s">
        <v>792</v>
      </c>
      <c r="B784" s="48">
        <v>45801</v>
      </c>
      <c r="C784" t="s">
        <v>1013</v>
      </c>
      <c r="D784" t="s">
        <v>1024</v>
      </c>
      <c r="E784" s="47">
        <v>363</v>
      </c>
      <c r="F784" s="47">
        <v>416</v>
      </c>
      <c r="G784" s="47">
        <v>151008</v>
      </c>
      <c r="H784" s="47" t="s">
        <v>1025</v>
      </c>
      <c r="I784" s="50" t="s">
        <v>1026</v>
      </c>
      <c r="J784" s="48" t="s">
        <v>1031</v>
      </c>
      <c r="K784" s="47" t="str">
        <f t="shared" si="12"/>
        <v/>
      </c>
    </row>
    <row r="785" spans="1:11" x14ac:dyDescent="0.25">
      <c r="A785" t="s">
        <v>793</v>
      </c>
      <c r="B785" s="48">
        <v>46043</v>
      </c>
      <c r="C785" t="s">
        <v>1010</v>
      </c>
      <c r="D785" t="s">
        <v>1019</v>
      </c>
      <c r="E785" s="47">
        <v>370</v>
      </c>
      <c r="F785" s="47">
        <v>400</v>
      </c>
      <c r="G785" s="47">
        <v>148000</v>
      </c>
      <c r="H785" s="47" t="s">
        <v>1027</v>
      </c>
      <c r="I785" s="50" t="s">
        <v>1026</v>
      </c>
      <c r="J785" s="48" t="s">
        <v>1031</v>
      </c>
      <c r="K785" s="47" t="str">
        <f t="shared" si="12"/>
        <v/>
      </c>
    </row>
    <row r="786" spans="1:11" x14ac:dyDescent="0.25">
      <c r="A786" t="s">
        <v>794</v>
      </c>
      <c r="B786" s="48">
        <v>45891</v>
      </c>
      <c r="C786" t="s">
        <v>1013</v>
      </c>
      <c r="D786" t="s">
        <v>1024</v>
      </c>
      <c r="E786" s="47">
        <v>433</v>
      </c>
      <c r="F786" s="47">
        <v>143</v>
      </c>
      <c r="G786" s="47">
        <v>61919</v>
      </c>
      <c r="H786" s="47" t="s">
        <v>1027</v>
      </c>
      <c r="I786" s="50" t="s">
        <v>1028</v>
      </c>
      <c r="J786" s="48">
        <v>45904</v>
      </c>
      <c r="K786" s="47">
        <f t="shared" si="12"/>
        <v>13</v>
      </c>
    </row>
    <row r="787" spans="1:11" x14ac:dyDescent="0.25">
      <c r="A787" t="s">
        <v>795</v>
      </c>
      <c r="B787" s="48">
        <v>45906</v>
      </c>
      <c r="C787" t="s">
        <v>1013</v>
      </c>
      <c r="D787" t="s">
        <v>1017</v>
      </c>
      <c r="E787" s="47">
        <v>488</v>
      </c>
      <c r="F787" s="47">
        <v>657</v>
      </c>
      <c r="G787" s="47">
        <v>320616</v>
      </c>
      <c r="H787" s="47" t="s">
        <v>1027</v>
      </c>
      <c r="I787" s="50" t="s">
        <v>1028</v>
      </c>
      <c r="J787" s="48">
        <v>45919</v>
      </c>
      <c r="K787" s="47">
        <f t="shared" si="12"/>
        <v>13</v>
      </c>
    </row>
    <row r="788" spans="1:11" x14ac:dyDescent="0.25">
      <c r="A788" t="s">
        <v>796</v>
      </c>
      <c r="B788" s="48">
        <v>45771</v>
      </c>
      <c r="C788" t="s">
        <v>1011</v>
      </c>
      <c r="D788" t="s">
        <v>1023</v>
      </c>
      <c r="E788" s="47">
        <v>287</v>
      </c>
      <c r="F788" s="47">
        <v>1719</v>
      </c>
      <c r="G788" s="47">
        <v>493353</v>
      </c>
      <c r="H788" s="47" t="s">
        <v>1030</v>
      </c>
      <c r="I788" s="50" t="s">
        <v>1026</v>
      </c>
      <c r="J788" s="48" t="s">
        <v>1031</v>
      </c>
      <c r="K788" s="47" t="str">
        <f t="shared" si="12"/>
        <v/>
      </c>
    </row>
    <row r="789" spans="1:11" x14ac:dyDescent="0.25">
      <c r="A789" t="s">
        <v>797</v>
      </c>
      <c r="B789" s="48">
        <v>46038</v>
      </c>
      <c r="C789" t="s">
        <v>1011</v>
      </c>
      <c r="D789" t="s">
        <v>1022</v>
      </c>
      <c r="E789" s="47">
        <v>114</v>
      </c>
      <c r="F789" s="47">
        <v>1876</v>
      </c>
      <c r="G789" s="47">
        <v>213864</v>
      </c>
      <c r="H789" s="47" t="s">
        <v>1027</v>
      </c>
      <c r="I789" s="50" t="s">
        <v>1026</v>
      </c>
      <c r="J789" s="48" t="s">
        <v>1031</v>
      </c>
      <c r="K789" s="47" t="str">
        <f t="shared" si="12"/>
        <v/>
      </c>
    </row>
    <row r="790" spans="1:11" x14ac:dyDescent="0.25">
      <c r="A790" t="s">
        <v>798</v>
      </c>
      <c r="B790" s="48">
        <v>45996</v>
      </c>
      <c r="C790" t="s">
        <v>1013</v>
      </c>
      <c r="D790" t="s">
        <v>1022</v>
      </c>
      <c r="E790" s="47">
        <v>4</v>
      </c>
      <c r="F790" s="47">
        <v>1693</v>
      </c>
      <c r="G790" s="47">
        <v>6772</v>
      </c>
      <c r="H790" s="47" t="s">
        <v>1030</v>
      </c>
      <c r="I790" s="50" t="s">
        <v>1029</v>
      </c>
      <c r="J790" s="48" t="s">
        <v>1031</v>
      </c>
      <c r="K790" s="47" t="str">
        <f t="shared" si="12"/>
        <v/>
      </c>
    </row>
    <row r="791" spans="1:11" x14ac:dyDescent="0.25">
      <c r="A791" t="s">
        <v>799</v>
      </c>
      <c r="B791" s="48">
        <v>45906</v>
      </c>
      <c r="C791" t="s">
        <v>1010</v>
      </c>
      <c r="D791" t="s">
        <v>1016</v>
      </c>
      <c r="E791" s="47">
        <v>110</v>
      </c>
      <c r="F791" s="47">
        <v>1808</v>
      </c>
      <c r="G791" s="47">
        <v>198880</v>
      </c>
      <c r="H791" s="47" t="s">
        <v>1027</v>
      </c>
      <c r="I791" s="50" t="s">
        <v>1028</v>
      </c>
      <c r="J791" s="48">
        <v>45921</v>
      </c>
      <c r="K791" s="47">
        <f t="shared" si="12"/>
        <v>15</v>
      </c>
    </row>
    <row r="792" spans="1:11" x14ac:dyDescent="0.25">
      <c r="A792" t="s">
        <v>800</v>
      </c>
      <c r="B792" s="48">
        <v>45692</v>
      </c>
      <c r="C792" t="s">
        <v>1013</v>
      </c>
      <c r="D792" t="s">
        <v>1015</v>
      </c>
      <c r="E792" s="47">
        <v>491</v>
      </c>
      <c r="F792" s="47">
        <v>105</v>
      </c>
      <c r="G792" s="47">
        <v>51555</v>
      </c>
      <c r="H792" s="47" t="s">
        <v>1027</v>
      </c>
      <c r="I792" s="50" t="s">
        <v>1028</v>
      </c>
      <c r="J792" s="48">
        <v>45706</v>
      </c>
      <c r="K792" s="47">
        <f t="shared" si="12"/>
        <v>14</v>
      </c>
    </row>
    <row r="793" spans="1:11" x14ac:dyDescent="0.25">
      <c r="A793" t="s">
        <v>801</v>
      </c>
      <c r="B793" s="48">
        <v>45777</v>
      </c>
      <c r="C793" t="s">
        <v>1010</v>
      </c>
      <c r="D793" t="s">
        <v>1022</v>
      </c>
      <c r="E793" s="47">
        <v>492</v>
      </c>
      <c r="F793" s="47">
        <v>1560</v>
      </c>
      <c r="G793" s="47">
        <v>767520</v>
      </c>
      <c r="H793" s="47" t="s">
        <v>1027</v>
      </c>
      <c r="I793" s="50" t="s">
        <v>1028</v>
      </c>
      <c r="J793" s="48">
        <v>45784</v>
      </c>
      <c r="K793" s="47">
        <f t="shared" si="12"/>
        <v>7</v>
      </c>
    </row>
    <row r="794" spans="1:11" x14ac:dyDescent="0.25">
      <c r="A794" t="s">
        <v>802</v>
      </c>
      <c r="B794" s="48">
        <v>46039</v>
      </c>
      <c r="C794" t="s">
        <v>1013</v>
      </c>
      <c r="D794" t="s">
        <v>1019</v>
      </c>
      <c r="E794" s="47">
        <v>435</v>
      </c>
      <c r="F794" s="47">
        <v>302</v>
      </c>
      <c r="G794" s="47">
        <v>131370</v>
      </c>
      <c r="H794" s="47" t="s">
        <v>1027</v>
      </c>
      <c r="I794" s="50" t="s">
        <v>1029</v>
      </c>
      <c r="J794" s="48" t="s">
        <v>1031</v>
      </c>
      <c r="K794" s="47" t="str">
        <f t="shared" si="12"/>
        <v/>
      </c>
    </row>
    <row r="795" spans="1:11" x14ac:dyDescent="0.25">
      <c r="A795" t="s">
        <v>803</v>
      </c>
      <c r="B795" s="48">
        <v>45866</v>
      </c>
      <c r="C795" t="s">
        <v>1011</v>
      </c>
      <c r="D795" t="s">
        <v>1016</v>
      </c>
      <c r="E795" s="47">
        <v>23</v>
      </c>
      <c r="F795" s="47">
        <v>43</v>
      </c>
      <c r="G795" s="47">
        <v>989</v>
      </c>
      <c r="H795" s="47" t="s">
        <v>1025</v>
      </c>
      <c r="I795" s="50" t="s">
        <v>1028</v>
      </c>
      <c r="J795" s="48">
        <v>45880</v>
      </c>
      <c r="K795" s="47">
        <f t="shared" si="12"/>
        <v>14</v>
      </c>
    </row>
    <row r="796" spans="1:11" x14ac:dyDescent="0.25">
      <c r="A796" t="s">
        <v>804</v>
      </c>
      <c r="B796" s="48">
        <v>45884</v>
      </c>
      <c r="C796" t="s">
        <v>1012</v>
      </c>
      <c r="D796" t="s">
        <v>1019</v>
      </c>
      <c r="E796" s="47">
        <v>59</v>
      </c>
      <c r="F796" s="47">
        <v>751</v>
      </c>
      <c r="G796" s="47">
        <v>44309</v>
      </c>
      <c r="H796" s="47" t="s">
        <v>1027</v>
      </c>
      <c r="I796" s="50" t="s">
        <v>1029</v>
      </c>
      <c r="J796" s="48" t="s">
        <v>1031</v>
      </c>
      <c r="K796" s="47" t="str">
        <f t="shared" si="12"/>
        <v/>
      </c>
    </row>
    <row r="797" spans="1:11" x14ac:dyDescent="0.25">
      <c r="A797" t="s">
        <v>805</v>
      </c>
      <c r="B797" s="48">
        <v>45663</v>
      </c>
      <c r="C797" t="s">
        <v>1014</v>
      </c>
      <c r="D797" t="s">
        <v>1015</v>
      </c>
      <c r="E797" s="47">
        <v>166</v>
      </c>
      <c r="F797" s="47">
        <v>438</v>
      </c>
      <c r="G797" s="47">
        <v>72708</v>
      </c>
      <c r="H797" s="47" t="s">
        <v>1025</v>
      </c>
      <c r="I797" s="50" t="s">
        <v>1026</v>
      </c>
      <c r="J797" s="48" t="s">
        <v>1031</v>
      </c>
      <c r="K797" s="47" t="str">
        <f t="shared" si="12"/>
        <v/>
      </c>
    </row>
    <row r="798" spans="1:11" x14ac:dyDescent="0.25">
      <c r="A798" t="s">
        <v>806</v>
      </c>
      <c r="B798" s="48">
        <v>45901</v>
      </c>
      <c r="C798" t="s">
        <v>1010</v>
      </c>
      <c r="D798" t="s">
        <v>1022</v>
      </c>
      <c r="E798" s="47">
        <v>54</v>
      </c>
      <c r="F798" s="47">
        <v>1762</v>
      </c>
      <c r="G798" s="47">
        <v>95148</v>
      </c>
      <c r="H798" s="47" t="s">
        <v>1027</v>
      </c>
      <c r="I798" s="50" t="s">
        <v>1026</v>
      </c>
      <c r="J798" s="48" t="s">
        <v>1031</v>
      </c>
      <c r="K798" s="47" t="str">
        <f t="shared" si="12"/>
        <v/>
      </c>
    </row>
    <row r="799" spans="1:11" x14ac:dyDescent="0.25">
      <c r="A799" t="s">
        <v>807</v>
      </c>
      <c r="B799" s="48">
        <v>45899</v>
      </c>
      <c r="C799" t="s">
        <v>1012</v>
      </c>
      <c r="D799" t="s">
        <v>1017</v>
      </c>
      <c r="E799" s="47">
        <v>69</v>
      </c>
      <c r="F799" s="47">
        <v>705</v>
      </c>
      <c r="G799" s="47">
        <v>48645</v>
      </c>
      <c r="H799" s="47" t="s">
        <v>1025</v>
      </c>
      <c r="I799" s="50" t="s">
        <v>1029</v>
      </c>
      <c r="J799" s="48" t="s">
        <v>1031</v>
      </c>
      <c r="K799" s="47" t="str">
        <f t="shared" si="12"/>
        <v/>
      </c>
    </row>
    <row r="800" spans="1:11" x14ac:dyDescent="0.25">
      <c r="A800" t="s">
        <v>808</v>
      </c>
      <c r="B800" s="48">
        <v>45822</v>
      </c>
      <c r="C800" t="s">
        <v>1011</v>
      </c>
      <c r="D800" t="s">
        <v>1015</v>
      </c>
      <c r="E800" s="47">
        <v>343</v>
      </c>
      <c r="F800" s="47">
        <v>1425</v>
      </c>
      <c r="G800" s="47">
        <v>488775</v>
      </c>
      <c r="H800" s="47" t="s">
        <v>1027</v>
      </c>
      <c r="I800" s="50" t="s">
        <v>1026</v>
      </c>
      <c r="J800" s="48" t="s">
        <v>1031</v>
      </c>
      <c r="K800" s="47" t="str">
        <f t="shared" si="12"/>
        <v/>
      </c>
    </row>
    <row r="801" spans="1:11" x14ac:dyDescent="0.25">
      <c r="A801" t="s">
        <v>809</v>
      </c>
      <c r="B801" s="48">
        <v>45919</v>
      </c>
      <c r="C801" t="s">
        <v>1012</v>
      </c>
      <c r="D801" t="s">
        <v>1019</v>
      </c>
      <c r="E801" s="47">
        <v>485</v>
      </c>
      <c r="F801" s="47">
        <v>1358</v>
      </c>
      <c r="G801" s="47">
        <v>658630</v>
      </c>
      <c r="H801" s="47" t="s">
        <v>1030</v>
      </c>
      <c r="I801" s="50" t="s">
        <v>1028</v>
      </c>
      <c r="J801" s="48">
        <v>45934</v>
      </c>
      <c r="K801" s="47">
        <f t="shared" si="12"/>
        <v>15</v>
      </c>
    </row>
    <row r="802" spans="1:11" x14ac:dyDescent="0.25">
      <c r="A802" t="s">
        <v>810</v>
      </c>
      <c r="B802" s="48">
        <v>45664</v>
      </c>
      <c r="C802" t="s">
        <v>1012</v>
      </c>
      <c r="D802" t="s">
        <v>1022</v>
      </c>
      <c r="E802" s="47">
        <v>238</v>
      </c>
      <c r="F802" s="47">
        <v>1412</v>
      </c>
      <c r="G802" s="47">
        <v>336056</v>
      </c>
      <c r="H802" s="47" t="s">
        <v>1027</v>
      </c>
      <c r="I802" s="50" t="s">
        <v>1026</v>
      </c>
      <c r="J802" s="48" t="s">
        <v>1031</v>
      </c>
      <c r="K802" s="47" t="str">
        <f t="shared" si="12"/>
        <v/>
      </c>
    </row>
    <row r="803" spans="1:11" x14ac:dyDescent="0.25">
      <c r="A803" t="s">
        <v>811</v>
      </c>
      <c r="B803" s="48">
        <v>45773</v>
      </c>
      <c r="C803" t="s">
        <v>1012</v>
      </c>
      <c r="D803" t="s">
        <v>1018</v>
      </c>
      <c r="E803" s="47">
        <v>275</v>
      </c>
      <c r="F803" s="47">
        <v>1389</v>
      </c>
      <c r="G803" s="47">
        <v>381975</v>
      </c>
      <c r="H803" s="47" t="s">
        <v>1027</v>
      </c>
      <c r="I803" s="50" t="s">
        <v>1026</v>
      </c>
      <c r="J803" s="48" t="s">
        <v>1031</v>
      </c>
      <c r="K803" s="47" t="str">
        <f t="shared" si="12"/>
        <v/>
      </c>
    </row>
    <row r="804" spans="1:11" x14ac:dyDescent="0.25">
      <c r="A804" t="s">
        <v>812</v>
      </c>
      <c r="B804" s="48">
        <v>45794</v>
      </c>
      <c r="C804" t="s">
        <v>1010</v>
      </c>
      <c r="D804" t="s">
        <v>1023</v>
      </c>
      <c r="E804" s="47">
        <v>466</v>
      </c>
      <c r="F804" s="47">
        <v>1407</v>
      </c>
      <c r="G804" s="47">
        <v>655662</v>
      </c>
      <c r="H804" s="47" t="s">
        <v>1025</v>
      </c>
      <c r="I804" s="50" t="s">
        <v>1026</v>
      </c>
      <c r="J804" s="48" t="s">
        <v>1031</v>
      </c>
      <c r="K804" s="47" t="str">
        <f t="shared" si="12"/>
        <v/>
      </c>
    </row>
    <row r="805" spans="1:11" x14ac:dyDescent="0.25">
      <c r="A805" t="s">
        <v>813</v>
      </c>
      <c r="B805" s="48">
        <v>45675</v>
      </c>
      <c r="C805" t="s">
        <v>1013</v>
      </c>
      <c r="D805" t="s">
        <v>1023</v>
      </c>
      <c r="E805" s="47">
        <v>134</v>
      </c>
      <c r="F805" s="47">
        <v>197</v>
      </c>
      <c r="G805" s="47">
        <v>26398</v>
      </c>
      <c r="H805" s="47" t="s">
        <v>1025</v>
      </c>
      <c r="I805" s="50" t="s">
        <v>1028</v>
      </c>
      <c r="J805" s="48">
        <v>45686</v>
      </c>
      <c r="K805" s="47">
        <f t="shared" si="12"/>
        <v>11</v>
      </c>
    </row>
    <row r="806" spans="1:11" x14ac:dyDescent="0.25">
      <c r="A806" t="s">
        <v>814</v>
      </c>
      <c r="B806" s="48">
        <v>45675</v>
      </c>
      <c r="C806" t="s">
        <v>1011</v>
      </c>
      <c r="D806" t="s">
        <v>1018</v>
      </c>
      <c r="E806" s="47">
        <v>148</v>
      </c>
      <c r="F806" s="47">
        <v>286</v>
      </c>
      <c r="G806" s="47">
        <v>42328</v>
      </c>
      <c r="H806" s="47" t="s">
        <v>1027</v>
      </c>
      <c r="I806" s="50" t="s">
        <v>1029</v>
      </c>
      <c r="J806" s="48" t="s">
        <v>1031</v>
      </c>
      <c r="K806" s="47" t="str">
        <f t="shared" si="12"/>
        <v/>
      </c>
    </row>
    <row r="807" spans="1:11" x14ac:dyDescent="0.25">
      <c r="A807" t="s">
        <v>815</v>
      </c>
      <c r="B807" s="48">
        <v>45752</v>
      </c>
      <c r="C807" t="s">
        <v>1010</v>
      </c>
      <c r="D807" t="s">
        <v>1022</v>
      </c>
      <c r="E807" s="47">
        <v>27</v>
      </c>
      <c r="F807" s="47">
        <v>1813</v>
      </c>
      <c r="G807" s="47">
        <v>48951</v>
      </c>
      <c r="H807" s="47" t="s">
        <v>1030</v>
      </c>
      <c r="I807" s="50" t="s">
        <v>1029</v>
      </c>
      <c r="J807" s="48" t="s">
        <v>1031</v>
      </c>
      <c r="K807" s="47" t="str">
        <f t="shared" si="12"/>
        <v/>
      </c>
    </row>
    <row r="808" spans="1:11" x14ac:dyDescent="0.25">
      <c r="A808" t="s">
        <v>816</v>
      </c>
      <c r="B808" s="48">
        <v>45674</v>
      </c>
      <c r="C808" t="s">
        <v>1012</v>
      </c>
      <c r="D808" t="s">
        <v>1022</v>
      </c>
      <c r="E808" s="47">
        <v>74</v>
      </c>
      <c r="F808" s="47">
        <v>675</v>
      </c>
      <c r="G808" s="47">
        <v>49950</v>
      </c>
      <c r="H808" s="47" t="s">
        <v>1025</v>
      </c>
      <c r="I808" s="50" t="s">
        <v>1026</v>
      </c>
      <c r="J808" s="48" t="s">
        <v>1031</v>
      </c>
      <c r="K808" s="47" t="str">
        <f t="shared" si="12"/>
        <v/>
      </c>
    </row>
    <row r="809" spans="1:11" x14ac:dyDescent="0.25">
      <c r="A809" t="s">
        <v>817</v>
      </c>
      <c r="B809" s="48">
        <v>45954</v>
      </c>
      <c r="C809" t="s">
        <v>1013</v>
      </c>
      <c r="D809" t="s">
        <v>1021</v>
      </c>
      <c r="E809" s="47">
        <v>199</v>
      </c>
      <c r="F809" s="47">
        <v>701</v>
      </c>
      <c r="G809" s="47">
        <v>139499</v>
      </c>
      <c r="H809" s="47" t="s">
        <v>1030</v>
      </c>
      <c r="I809" s="50" t="s">
        <v>1028</v>
      </c>
      <c r="J809" s="48">
        <v>45967</v>
      </c>
      <c r="K809" s="47">
        <f t="shared" si="12"/>
        <v>13</v>
      </c>
    </row>
    <row r="810" spans="1:11" x14ac:dyDescent="0.25">
      <c r="A810" t="s">
        <v>818</v>
      </c>
      <c r="B810" s="48">
        <v>46045</v>
      </c>
      <c r="C810" t="s">
        <v>1010</v>
      </c>
      <c r="D810" t="s">
        <v>1022</v>
      </c>
      <c r="E810" s="47">
        <v>348</v>
      </c>
      <c r="F810" s="47">
        <v>1512</v>
      </c>
      <c r="G810" s="47">
        <v>526176</v>
      </c>
      <c r="H810" s="47" t="s">
        <v>1025</v>
      </c>
      <c r="I810" s="50" t="s">
        <v>1028</v>
      </c>
      <c r="J810" s="48">
        <v>46058</v>
      </c>
      <c r="K810" s="47">
        <f t="shared" si="12"/>
        <v>13</v>
      </c>
    </row>
    <row r="811" spans="1:11" x14ac:dyDescent="0.25">
      <c r="A811" t="s">
        <v>819</v>
      </c>
      <c r="B811" s="48">
        <v>45726</v>
      </c>
      <c r="C811" t="s">
        <v>1013</v>
      </c>
      <c r="D811" t="s">
        <v>1017</v>
      </c>
      <c r="E811" s="47">
        <v>33</v>
      </c>
      <c r="F811" s="47">
        <v>1076</v>
      </c>
      <c r="G811" s="47">
        <v>35508</v>
      </c>
      <c r="H811" s="47" t="s">
        <v>1025</v>
      </c>
      <c r="I811" s="50" t="s">
        <v>1028</v>
      </c>
      <c r="J811" s="48">
        <v>45738</v>
      </c>
      <c r="K811" s="47">
        <f t="shared" si="12"/>
        <v>12</v>
      </c>
    </row>
    <row r="812" spans="1:11" x14ac:dyDescent="0.25">
      <c r="A812" t="s">
        <v>820</v>
      </c>
      <c r="B812" s="48">
        <v>45943</v>
      </c>
      <c r="C812" t="s">
        <v>1011</v>
      </c>
      <c r="D812" t="s">
        <v>1023</v>
      </c>
      <c r="E812" s="47">
        <v>237</v>
      </c>
      <c r="F812" s="47">
        <v>497</v>
      </c>
      <c r="G812" s="47">
        <v>117789</v>
      </c>
      <c r="H812" s="47" t="s">
        <v>1025</v>
      </c>
      <c r="I812" s="50" t="s">
        <v>1029</v>
      </c>
      <c r="J812" s="48" t="s">
        <v>1031</v>
      </c>
      <c r="K812" s="47" t="str">
        <f t="shared" si="12"/>
        <v/>
      </c>
    </row>
    <row r="813" spans="1:11" x14ac:dyDescent="0.25">
      <c r="A813" t="s">
        <v>821</v>
      </c>
      <c r="B813" s="48">
        <v>45912</v>
      </c>
      <c r="C813" t="s">
        <v>1013</v>
      </c>
      <c r="D813" t="s">
        <v>1024</v>
      </c>
      <c r="E813" s="47">
        <v>434</v>
      </c>
      <c r="F813" s="47">
        <v>1672</v>
      </c>
      <c r="G813" s="47">
        <v>725648</v>
      </c>
      <c r="H813" s="47" t="s">
        <v>1027</v>
      </c>
      <c r="I813" s="50" t="s">
        <v>1029</v>
      </c>
      <c r="J813" s="48" t="s">
        <v>1031</v>
      </c>
      <c r="K813" s="47" t="str">
        <f t="shared" si="12"/>
        <v/>
      </c>
    </row>
    <row r="814" spans="1:11" x14ac:dyDescent="0.25">
      <c r="A814" t="s">
        <v>822</v>
      </c>
      <c r="B814" s="48">
        <v>45936</v>
      </c>
      <c r="C814" t="s">
        <v>1012</v>
      </c>
      <c r="D814" t="s">
        <v>1024</v>
      </c>
      <c r="E814" s="47">
        <v>290</v>
      </c>
      <c r="F814" s="47">
        <v>1053</v>
      </c>
      <c r="G814" s="47">
        <v>305370</v>
      </c>
      <c r="H814" s="47" t="s">
        <v>1025</v>
      </c>
      <c r="I814" s="50" t="s">
        <v>1026</v>
      </c>
      <c r="J814" s="48" t="s">
        <v>1031</v>
      </c>
      <c r="K814" s="47" t="str">
        <f t="shared" si="12"/>
        <v/>
      </c>
    </row>
    <row r="815" spans="1:11" x14ac:dyDescent="0.25">
      <c r="A815" t="s">
        <v>823</v>
      </c>
      <c r="B815" s="48">
        <v>45668</v>
      </c>
      <c r="C815" t="s">
        <v>1010</v>
      </c>
      <c r="D815" t="s">
        <v>1017</v>
      </c>
      <c r="E815" s="47">
        <v>193</v>
      </c>
      <c r="F815" s="47">
        <v>417</v>
      </c>
      <c r="G815" s="47">
        <v>80481</v>
      </c>
      <c r="H815" s="47" t="s">
        <v>1027</v>
      </c>
      <c r="I815" s="50" t="s">
        <v>1026</v>
      </c>
      <c r="J815" s="48" t="s">
        <v>1031</v>
      </c>
      <c r="K815" s="47" t="str">
        <f t="shared" si="12"/>
        <v/>
      </c>
    </row>
    <row r="816" spans="1:11" x14ac:dyDescent="0.25">
      <c r="A816" t="s">
        <v>824</v>
      </c>
      <c r="B816" s="48">
        <v>45990</v>
      </c>
      <c r="C816" t="s">
        <v>1013</v>
      </c>
      <c r="D816" t="s">
        <v>1022</v>
      </c>
      <c r="E816" s="47">
        <v>371</v>
      </c>
      <c r="F816" s="47">
        <v>646</v>
      </c>
      <c r="G816" s="47">
        <v>239666</v>
      </c>
      <c r="H816" s="47" t="s">
        <v>1030</v>
      </c>
      <c r="I816" s="50" t="s">
        <v>1029</v>
      </c>
      <c r="J816" s="48" t="s">
        <v>1031</v>
      </c>
      <c r="K816" s="47" t="str">
        <f t="shared" si="12"/>
        <v/>
      </c>
    </row>
    <row r="817" spans="1:11" x14ac:dyDescent="0.25">
      <c r="A817" t="s">
        <v>825</v>
      </c>
      <c r="B817" s="48">
        <v>45683</v>
      </c>
      <c r="C817" t="s">
        <v>1011</v>
      </c>
      <c r="D817" t="s">
        <v>1023</v>
      </c>
      <c r="E817" s="47">
        <v>441</v>
      </c>
      <c r="F817" s="47">
        <v>532</v>
      </c>
      <c r="G817" s="47">
        <v>234612</v>
      </c>
      <c r="H817" s="47" t="s">
        <v>1030</v>
      </c>
      <c r="I817" s="50" t="s">
        <v>1028</v>
      </c>
      <c r="J817" s="48">
        <v>45697</v>
      </c>
      <c r="K817" s="47">
        <f t="shared" si="12"/>
        <v>14</v>
      </c>
    </row>
    <row r="818" spans="1:11" x14ac:dyDescent="0.25">
      <c r="A818" t="s">
        <v>826</v>
      </c>
      <c r="B818" s="48">
        <v>46013</v>
      </c>
      <c r="C818" t="s">
        <v>1011</v>
      </c>
      <c r="D818" t="s">
        <v>1015</v>
      </c>
      <c r="E818" s="47">
        <v>164</v>
      </c>
      <c r="F818" s="47">
        <v>1591</v>
      </c>
      <c r="G818" s="47">
        <v>260924</v>
      </c>
      <c r="H818" s="47" t="s">
        <v>1030</v>
      </c>
      <c r="I818" s="50" t="s">
        <v>1026</v>
      </c>
      <c r="J818" s="48" t="s">
        <v>1031</v>
      </c>
      <c r="K818" s="47" t="str">
        <f t="shared" si="12"/>
        <v/>
      </c>
    </row>
    <row r="819" spans="1:11" x14ac:dyDescent="0.25">
      <c r="A819" t="s">
        <v>827</v>
      </c>
      <c r="B819" s="48">
        <v>45804</v>
      </c>
      <c r="C819" t="s">
        <v>1012</v>
      </c>
      <c r="D819" t="s">
        <v>1024</v>
      </c>
      <c r="E819" s="47">
        <v>155</v>
      </c>
      <c r="F819" s="47">
        <v>797</v>
      </c>
      <c r="G819" s="47">
        <v>123535</v>
      </c>
      <c r="H819" s="47" t="s">
        <v>1030</v>
      </c>
      <c r="I819" s="50" t="s">
        <v>1029</v>
      </c>
      <c r="J819" s="48" t="s">
        <v>1031</v>
      </c>
      <c r="K819" s="47" t="str">
        <f t="shared" si="12"/>
        <v/>
      </c>
    </row>
    <row r="820" spans="1:11" x14ac:dyDescent="0.25">
      <c r="A820" t="s">
        <v>828</v>
      </c>
      <c r="B820" s="48">
        <v>45995</v>
      </c>
      <c r="C820" t="s">
        <v>1012</v>
      </c>
      <c r="D820" t="s">
        <v>1017</v>
      </c>
      <c r="E820" s="47">
        <v>338</v>
      </c>
      <c r="F820" s="47">
        <v>1242</v>
      </c>
      <c r="G820" s="47">
        <v>419796</v>
      </c>
      <c r="H820" s="47" t="s">
        <v>1030</v>
      </c>
      <c r="I820" s="50" t="s">
        <v>1029</v>
      </c>
      <c r="J820" s="48" t="s">
        <v>1031</v>
      </c>
      <c r="K820" s="47" t="str">
        <f t="shared" si="12"/>
        <v/>
      </c>
    </row>
    <row r="821" spans="1:11" x14ac:dyDescent="0.25">
      <c r="A821" t="s">
        <v>829</v>
      </c>
      <c r="B821" s="48">
        <v>45965</v>
      </c>
      <c r="C821" t="s">
        <v>1013</v>
      </c>
      <c r="D821" t="s">
        <v>1022</v>
      </c>
      <c r="E821" s="47">
        <v>3</v>
      </c>
      <c r="F821" s="47">
        <v>1178</v>
      </c>
      <c r="G821" s="47">
        <v>3534</v>
      </c>
      <c r="H821" s="47" t="s">
        <v>1030</v>
      </c>
      <c r="I821" s="50" t="s">
        <v>1026</v>
      </c>
      <c r="J821" s="48" t="s">
        <v>1031</v>
      </c>
      <c r="K821" s="47" t="str">
        <f t="shared" si="12"/>
        <v/>
      </c>
    </row>
    <row r="822" spans="1:11" x14ac:dyDescent="0.25">
      <c r="A822" t="s">
        <v>830</v>
      </c>
      <c r="B822" s="48">
        <v>45899</v>
      </c>
      <c r="C822" t="s">
        <v>1014</v>
      </c>
      <c r="D822" t="s">
        <v>1021</v>
      </c>
      <c r="E822" s="47">
        <v>435</v>
      </c>
      <c r="F822" s="47">
        <v>401</v>
      </c>
      <c r="G822" s="47">
        <v>174435</v>
      </c>
      <c r="H822" s="47" t="s">
        <v>1030</v>
      </c>
      <c r="I822" s="50" t="s">
        <v>1028</v>
      </c>
      <c r="J822" s="48">
        <v>45906</v>
      </c>
      <c r="K822" s="47">
        <f t="shared" si="12"/>
        <v>7</v>
      </c>
    </row>
    <row r="823" spans="1:11" x14ac:dyDescent="0.25">
      <c r="A823" t="s">
        <v>831</v>
      </c>
      <c r="B823" s="48">
        <v>46030</v>
      </c>
      <c r="C823" t="s">
        <v>1010</v>
      </c>
      <c r="D823" t="s">
        <v>1023</v>
      </c>
      <c r="E823" s="47">
        <v>288</v>
      </c>
      <c r="F823" s="47">
        <v>1165</v>
      </c>
      <c r="G823" s="47">
        <v>335520</v>
      </c>
      <c r="H823" s="47" t="s">
        <v>1025</v>
      </c>
      <c r="I823" s="50" t="s">
        <v>1029</v>
      </c>
      <c r="J823" s="48" t="s">
        <v>1031</v>
      </c>
      <c r="K823" s="47" t="str">
        <f t="shared" si="12"/>
        <v/>
      </c>
    </row>
    <row r="824" spans="1:11" x14ac:dyDescent="0.25">
      <c r="A824" t="s">
        <v>832</v>
      </c>
      <c r="B824" s="48">
        <v>45973</v>
      </c>
      <c r="C824" t="s">
        <v>1010</v>
      </c>
      <c r="D824" t="s">
        <v>1015</v>
      </c>
      <c r="E824" s="47">
        <v>192</v>
      </c>
      <c r="F824" s="47">
        <v>1478</v>
      </c>
      <c r="G824" s="47">
        <v>283776</v>
      </c>
      <c r="H824" s="47" t="s">
        <v>1030</v>
      </c>
      <c r="I824" s="50" t="s">
        <v>1028</v>
      </c>
      <c r="J824" s="48">
        <v>45983</v>
      </c>
      <c r="K824" s="47">
        <f t="shared" si="12"/>
        <v>10</v>
      </c>
    </row>
    <row r="825" spans="1:11" x14ac:dyDescent="0.25">
      <c r="A825" t="s">
        <v>833</v>
      </c>
      <c r="B825" s="48">
        <v>45882</v>
      </c>
      <c r="C825" t="s">
        <v>1012</v>
      </c>
      <c r="D825" t="s">
        <v>1021</v>
      </c>
      <c r="E825" s="47">
        <v>410</v>
      </c>
      <c r="F825" s="47">
        <v>1334</v>
      </c>
      <c r="G825" s="47">
        <v>546940</v>
      </c>
      <c r="H825" s="47" t="s">
        <v>1027</v>
      </c>
      <c r="I825" s="50" t="s">
        <v>1029</v>
      </c>
      <c r="J825" s="48" t="s">
        <v>1031</v>
      </c>
      <c r="K825" s="47" t="str">
        <f t="shared" si="12"/>
        <v/>
      </c>
    </row>
    <row r="826" spans="1:11" x14ac:dyDescent="0.25">
      <c r="A826" t="s">
        <v>834</v>
      </c>
      <c r="B826" s="48">
        <v>45919</v>
      </c>
      <c r="C826" t="s">
        <v>1011</v>
      </c>
      <c r="D826" t="s">
        <v>1015</v>
      </c>
      <c r="E826" s="47">
        <v>199</v>
      </c>
      <c r="F826" s="47">
        <v>306</v>
      </c>
      <c r="G826" s="47">
        <v>60894</v>
      </c>
      <c r="H826" s="47" t="s">
        <v>1030</v>
      </c>
      <c r="I826" s="50" t="s">
        <v>1028</v>
      </c>
      <c r="J826" s="48">
        <v>45933</v>
      </c>
      <c r="K826" s="47">
        <f t="shared" si="12"/>
        <v>14</v>
      </c>
    </row>
    <row r="827" spans="1:11" x14ac:dyDescent="0.25">
      <c r="A827" t="s">
        <v>835</v>
      </c>
      <c r="B827" s="48">
        <v>45905</v>
      </c>
      <c r="C827" t="s">
        <v>1012</v>
      </c>
      <c r="D827" t="s">
        <v>1018</v>
      </c>
      <c r="E827" s="47">
        <v>331</v>
      </c>
      <c r="F827" s="47">
        <v>1447</v>
      </c>
      <c r="G827" s="47">
        <v>478957</v>
      </c>
      <c r="H827" s="47" t="s">
        <v>1030</v>
      </c>
      <c r="I827" s="50" t="s">
        <v>1028</v>
      </c>
      <c r="J827" s="48">
        <v>45917</v>
      </c>
      <c r="K827" s="47">
        <f t="shared" si="12"/>
        <v>12</v>
      </c>
    </row>
    <row r="828" spans="1:11" x14ac:dyDescent="0.25">
      <c r="A828" t="s">
        <v>836</v>
      </c>
      <c r="B828" s="48">
        <v>45746</v>
      </c>
      <c r="C828" t="s">
        <v>1014</v>
      </c>
      <c r="D828" t="s">
        <v>1021</v>
      </c>
      <c r="E828" s="47">
        <v>107</v>
      </c>
      <c r="F828" s="47">
        <v>507</v>
      </c>
      <c r="G828" s="47">
        <v>54249</v>
      </c>
      <c r="H828" s="47" t="s">
        <v>1025</v>
      </c>
      <c r="I828" s="50" t="s">
        <v>1026</v>
      </c>
      <c r="J828" s="48" t="s">
        <v>1031</v>
      </c>
      <c r="K828" s="47" t="str">
        <f t="shared" si="12"/>
        <v/>
      </c>
    </row>
    <row r="829" spans="1:11" x14ac:dyDescent="0.25">
      <c r="A829" t="s">
        <v>837</v>
      </c>
      <c r="B829" s="48">
        <v>45827</v>
      </c>
      <c r="C829" t="s">
        <v>1010</v>
      </c>
      <c r="D829" t="s">
        <v>1016</v>
      </c>
      <c r="E829" s="47">
        <v>408</v>
      </c>
      <c r="F829" s="47">
        <v>1336</v>
      </c>
      <c r="G829" s="47">
        <v>545088</v>
      </c>
      <c r="H829" s="47" t="s">
        <v>1030</v>
      </c>
      <c r="I829" s="50" t="s">
        <v>1029</v>
      </c>
      <c r="J829" s="48" t="s">
        <v>1031</v>
      </c>
      <c r="K829" s="47" t="str">
        <f t="shared" si="12"/>
        <v/>
      </c>
    </row>
    <row r="830" spans="1:11" x14ac:dyDescent="0.25">
      <c r="A830" t="s">
        <v>838</v>
      </c>
      <c r="B830" s="48">
        <v>45670</v>
      </c>
      <c r="C830" t="s">
        <v>1010</v>
      </c>
      <c r="D830" t="s">
        <v>1022</v>
      </c>
      <c r="E830" s="47">
        <v>47</v>
      </c>
      <c r="F830" s="47">
        <v>653</v>
      </c>
      <c r="G830" s="47">
        <v>30691</v>
      </c>
      <c r="H830" s="47" t="s">
        <v>1025</v>
      </c>
      <c r="I830" s="50" t="s">
        <v>1026</v>
      </c>
      <c r="J830" s="48" t="s">
        <v>1031</v>
      </c>
      <c r="K830" s="47" t="str">
        <f t="shared" si="12"/>
        <v/>
      </c>
    </row>
    <row r="831" spans="1:11" x14ac:dyDescent="0.25">
      <c r="A831" t="s">
        <v>839</v>
      </c>
      <c r="B831" s="48">
        <v>45833</v>
      </c>
      <c r="C831" t="s">
        <v>1014</v>
      </c>
      <c r="D831" t="s">
        <v>1021</v>
      </c>
      <c r="E831" s="47">
        <v>417</v>
      </c>
      <c r="F831" s="47">
        <v>329</v>
      </c>
      <c r="G831" s="47">
        <v>137193</v>
      </c>
      <c r="H831" s="47" t="s">
        <v>1027</v>
      </c>
      <c r="I831" s="50" t="s">
        <v>1026</v>
      </c>
      <c r="J831" s="48" t="s">
        <v>1031</v>
      </c>
      <c r="K831" s="47" t="str">
        <f t="shared" si="12"/>
        <v/>
      </c>
    </row>
    <row r="832" spans="1:11" x14ac:dyDescent="0.25">
      <c r="A832" t="s">
        <v>840</v>
      </c>
      <c r="B832" s="48">
        <v>45722</v>
      </c>
      <c r="C832" t="s">
        <v>1011</v>
      </c>
      <c r="D832" t="s">
        <v>1022</v>
      </c>
      <c r="E832" s="47">
        <v>148</v>
      </c>
      <c r="F832" s="47">
        <v>1341</v>
      </c>
      <c r="G832" s="47">
        <v>198468</v>
      </c>
      <c r="H832" s="47" t="s">
        <v>1027</v>
      </c>
      <c r="I832" s="50" t="s">
        <v>1028</v>
      </c>
      <c r="J832" s="48">
        <v>45727</v>
      </c>
      <c r="K832" s="47">
        <f t="shared" si="12"/>
        <v>5</v>
      </c>
    </row>
    <row r="833" spans="1:11" x14ac:dyDescent="0.25">
      <c r="A833" t="s">
        <v>841</v>
      </c>
      <c r="B833" s="48">
        <v>45693</v>
      </c>
      <c r="C833" t="s">
        <v>1014</v>
      </c>
      <c r="D833" t="s">
        <v>1018</v>
      </c>
      <c r="E833" s="47">
        <v>495</v>
      </c>
      <c r="F833" s="47">
        <v>687</v>
      </c>
      <c r="G833" s="47">
        <v>340065</v>
      </c>
      <c r="H833" s="47" t="s">
        <v>1025</v>
      </c>
      <c r="I833" s="50" t="s">
        <v>1028</v>
      </c>
      <c r="J833" s="48">
        <v>45703</v>
      </c>
      <c r="K833" s="47">
        <f t="shared" si="12"/>
        <v>10</v>
      </c>
    </row>
    <row r="834" spans="1:11" x14ac:dyDescent="0.25">
      <c r="A834" t="s">
        <v>842</v>
      </c>
      <c r="B834" s="48">
        <v>45728</v>
      </c>
      <c r="C834" t="s">
        <v>1013</v>
      </c>
      <c r="D834" t="s">
        <v>1015</v>
      </c>
      <c r="E834" s="47">
        <v>212</v>
      </c>
      <c r="F834" s="47">
        <v>18</v>
      </c>
      <c r="G834" s="47">
        <v>3816</v>
      </c>
      <c r="H834" s="47" t="s">
        <v>1030</v>
      </c>
      <c r="I834" s="50" t="s">
        <v>1028</v>
      </c>
      <c r="J834" s="48">
        <v>45733</v>
      </c>
      <c r="K834" s="47">
        <f t="shared" ref="K834:K897" si="13">IF(J834="", "", J834-B834)</f>
        <v>5</v>
      </c>
    </row>
    <row r="835" spans="1:11" x14ac:dyDescent="0.25">
      <c r="A835" t="s">
        <v>843</v>
      </c>
      <c r="B835" s="48">
        <v>45903</v>
      </c>
      <c r="C835" t="s">
        <v>1012</v>
      </c>
      <c r="D835" t="s">
        <v>1016</v>
      </c>
      <c r="E835" s="47">
        <v>482</v>
      </c>
      <c r="F835" s="47">
        <v>102</v>
      </c>
      <c r="G835" s="47">
        <v>49164</v>
      </c>
      <c r="H835" s="47" t="s">
        <v>1027</v>
      </c>
      <c r="I835" s="50" t="s">
        <v>1026</v>
      </c>
      <c r="J835" s="48" t="s">
        <v>1031</v>
      </c>
      <c r="K835" s="47" t="str">
        <f t="shared" si="13"/>
        <v/>
      </c>
    </row>
    <row r="836" spans="1:11" x14ac:dyDescent="0.25">
      <c r="A836" t="s">
        <v>844</v>
      </c>
      <c r="B836" s="48">
        <v>46025</v>
      </c>
      <c r="C836" t="s">
        <v>1012</v>
      </c>
      <c r="D836" t="s">
        <v>1023</v>
      </c>
      <c r="E836" s="47">
        <v>329</v>
      </c>
      <c r="F836" s="47">
        <v>325</v>
      </c>
      <c r="G836" s="47">
        <v>106925</v>
      </c>
      <c r="H836" s="47" t="s">
        <v>1025</v>
      </c>
      <c r="I836" s="50" t="s">
        <v>1028</v>
      </c>
      <c r="J836" s="48">
        <v>46031</v>
      </c>
      <c r="K836" s="47">
        <f t="shared" si="13"/>
        <v>6</v>
      </c>
    </row>
    <row r="837" spans="1:11" x14ac:dyDescent="0.25">
      <c r="A837" t="s">
        <v>845</v>
      </c>
      <c r="B837" s="48">
        <v>45869</v>
      </c>
      <c r="C837" t="s">
        <v>1012</v>
      </c>
      <c r="D837" t="s">
        <v>1015</v>
      </c>
      <c r="E837" s="47">
        <v>92</v>
      </c>
      <c r="F837" s="47">
        <v>800</v>
      </c>
      <c r="G837" s="47">
        <v>73600</v>
      </c>
      <c r="H837" s="47" t="s">
        <v>1025</v>
      </c>
      <c r="I837" s="50" t="s">
        <v>1028</v>
      </c>
      <c r="J837" s="48">
        <v>45874</v>
      </c>
      <c r="K837" s="47">
        <f t="shared" si="13"/>
        <v>5</v>
      </c>
    </row>
    <row r="838" spans="1:11" x14ac:dyDescent="0.25">
      <c r="A838" t="s">
        <v>846</v>
      </c>
      <c r="B838" s="48">
        <v>45912</v>
      </c>
      <c r="C838" t="s">
        <v>1010</v>
      </c>
      <c r="D838" t="s">
        <v>1021</v>
      </c>
      <c r="E838" s="47">
        <v>322</v>
      </c>
      <c r="F838" s="47">
        <v>116</v>
      </c>
      <c r="G838" s="47">
        <v>37352</v>
      </c>
      <c r="H838" s="47" t="s">
        <v>1027</v>
      </c>
      <c r="I838" s="50" t="s">
        <v>1029</v>
      </c>
      <c r="J838" s="48" t="s">
        <v>1031</v>
      </c>
      <c r="K838" s="47" t="str">
        <f t="shared" si="13"/>
        <v/>
      </c>
    </row>
    <row r="839" spans="1:11" x14ac:dyDescent="0.25">
      <c r="A839" t="s">
        <v>847</v>
      </c>
      <c r="B839" s="48">
        <v>45987</v>
      </c>
      <c r="C839" t="s">
        <v>1011</v>
      </c>
      <c r="D839" t="s">
        <v>1018</v>
      </c>
      <c r="E839" s="47">
        <v>117</v>
      </c>
      <c r="F839" s="47">
        <v>81</v>
      </c>
      <c r="G839" s="47">
        <v>9477</v>
      </c>
      <c r="H839" s="47" t="s">
        <v>1027</v>
      </c>
      <c r="I839" s="50" t="s">
        <v>1026</v>
      </c>
      <c r="J839" s="48" t="s">
        <v>1031</v>
      </c>
      <c r="K839" s="47" t="str">
        <f t="shared" si="13"/>
        <v/>
      </c>
    </row>
    <row r="840" spans="1:11" x14ac:dyDescent="0.25">
      <c r="A840" t="s">
        <v>848</v>
      </c>
      <c r="B840" s="48">
        <v>45765</v>
      </c>
      <c r="C840" t="s">
        <v>1010</v>
      </c>
      <c r="D840" t="s">
        <v>1020</v>
      </c>
      <c r="E840" s="47">
        <v>85</v>
      </c>
      <c r="F840" s="47">
        <v>888</v>
      </c>
      <c r="G840" s="47">
        <v>75480</v>
      </c>
      <c r="H840" s="47" t="s">
        <v>1030</v>
      </c>
      <c r="I840" s="50" t="s">
        <v>1028</v>
      </c>
      <c r="J840" s="48">
        <v>45776</v>
      </c>
      <c r="K840" s="47">
        <f t="shared" si="13"/>
        <v>11</v>
      </c>
    </row>
    <row r="841" spans="1:11" x14ac:dyDescent="0.25">
      <c r="A841" t="s">
        <v>849</v>
      </c>
      <c r="B841" s="48">
        <v>45986</v>
      </c>
      <c r="C841" t="s">
        <v>1012</v>
      </c>
      <c r="D841" t="s">
        <v>1018</v>
      </c>
      <c r="E841" s="47">
        <v>151</v>
      </c>
      <c r="F841" s="47">
        <v>974</v>
      </c>
      <c r="G841" s="47">
        <v>147074</v>
      </c>
      <c r="H841" s="47" t="s">
        <v>1027</v>
      </c>
      <c r="I841" s="50" t="s">
        <v>1028</v>
      </c>
      <c r="J841" s="48">
        <v>45998</v>
      </c>
      <c r="K841" s="47">
        <f t="shared" si="13"/>
        <v>12</v>
      </c>
    </row>
    <row r="842" spans="1:11" x14ac:dyDescent="0.25">
      <c r="A842" t="s">
        <v>850</v>
      </c>
      <c r="B842" s="48">
        <v>45994</v>
      </c>
      <c r="C842" t="s">
        <v>1013</v>
      </c>
      <c r="D842" t="s">
        <v>1017</v>
      </c>
      <c r="E842" s="47">
        <v>204</v>
      </c>
      <c r="F842" s="47">
        <v>942</v>
      </c>
      <c r="G842" s="47">
        <v>192168</v>
      </c>
      <c r="H842" s="47" t="s">
        <v>1027</v>
      </c>
      <c r="I842" s="50" t="s">
        <v>1028</v>
      </c>
      <c r="J842" s="48">
        <v>46008</v>
      </c>
      <c r="K842" s="47">
        <f t="shared" si="13"/>
        <v>14</v>
      </c>
    </row>
    <row r="843" spans="1:11" x14ac:dyDescent="0.25">
      <c r="A843" t="s">
        <v>851</v>
      </c>
      <c r="B843" s="48">
        <v>45762</v>
      </c>
      <c r="C843" t="s">
        <v>1010</v>
      </c>
      <c r="D843" t="s">
        <v>1021</v>
      </c>
      <c r="E843" s="47">
        <v>468</v>
      </c>
      <c r="F843" s="47">
        <v>1156</v>
      </c>
      <c r="G843" s="47">
        <v>541008</v>
      </c>
      <c r="H843" s="47" t="s">
        <v>1025</v>
      </c>
      <c r="I843" s="50" t="s">
        <v>1026</v>
      </c>
      <c r="J843" s="48" t="s">
        <v>1031</v>
      </c>
      <c r="K843" s="47" t="str">
        <f t="shared" si="13"/>
        <v/>
      </c>
    </row>
    <row r="844" spans="1:11" x14ac:dyDescent="0.25">
      <c r="A844" t="s">
        <v>852</v>
      </c>
      <c r="B844" s="48">
        <v>45796</v>
      </c>
      <c r="C844" t="s">
        <v>1011</v>
      </c>
      <c r="D844" t="s">
        <v>1022</v>
      </c>
      <c r="E844" s="47">
        <v>363</v>
      </c>
      <c r="F844" s="47">
        <v>1340</v>
      </c>
      <c r="G844" s="47">
        <v>486420</v>
      </c>
      <c r="H844" s="47" t="s">
        <v>1025</v>
      </c>
      <c r="I844" s="50" t="s">
        <v>1028</v>
      </c>
      <c r="J844" s="48">
        <v>45804</v>
      </c>
      <c r="K844" s="47">
        <f t="shared" si="13"/>
        <v>8</v>
      </c>
    </row>
    <row r="845" spans="1:11" x14ac:dyDescent="0.25">
      <c r="A845" t="s">
        <v>853</v>
      </c>
      <c r="B845" s="48">
        <v>45978</v>
      </c>
      <c r="C845" t="s">
        <v>1012</v>
      </c>
      <c r="D845" t="s">
        <v>1018</v>
      </c>
      <c r="E845" s="47">
        <v>332</v>
      </c>
      <c r="F845" s="47">
        <v>597</v>
      </c>
      <c r="G845" s="47">
        <v>198204</v>
      </c>
      <c r="H845" s="47" t="s">
        <v>1027</v>
      </c>
      <c r="I845" s="50" t="s">
        <v>1029</v>
      </c>
      <c r="J845" s="48" t="s">
        <v>1031</v>
      </c>
      <c r="K845" s="47" t="str">
        <f t="shared" si="13"/>
        <v/>
      </c>
    </row>
    <row r="846" spans="1:11" x14ac:dyDescent="0.25">
      <c r="A846" t="s">
        <v>854</v>
      </c>
      <c r="B846" s="48">
        <v>45763</v>
      </c>
      <c r="C846" t="s">
        <v>1014</v>
      </c>
      <c r="D846" t="s">
        <v>1020</v>
      </c>
      <c r="E846" s="47">
        <v>161</v>
      </c>
      <c r="F846" s="47">
        <v>1723</v>
      </c>
      <c r="G846" s="47">
        <v>277403</v>
      </c>
      <c r="H846" s="47" t="s">
        <v>1027</v>
      </c>
      <c r="I846" s="50" t="s">
        <v>1026</v>
      </c>
      <c r="J846" s="48" t="s">
        <v>1031</v>
      </c>
      <c r="K846" s="47" t="str">
        <f t="shared" si="13"/>
        <v/>
      </c>
    </row>
    <row r="847" spans="1:11" x14ac:dyDescent="0.25">
      <c r="A847" t="s">
        <v>855</v>
      </c>
      <c r="B847" s="48">
        <v>45960</v>
      </c>
      <c r="C847" t="s">
        <v>1010</v>
      </c>
      <c r="D847" t="s">
        <v>1023</v>
      </c>
      <c r="E847" s="47">
        <v>387</v>
      </c>
      <c r="F847" s="47">
        <v>1541</v>
      </c>
      <c r="G847" s="47">
        <v>596367</v>
      </c>
      <c r="H847" s="47" t="s">
        <v>1030</v>
      </c>
      <c r="I847" s="50" t="s">
        <v>1028</v>
      </c>
      <c r="J847" s="48">
        <v>45969</v>
      </c>
      <c r="K847" s="47">
        <f t="shared" si="13"/>
        <v>9</v>
      </c>
    </row>
    <row r="848" spans="1:11" x14ac:dyDescent="0.25">
      <c r="A848" t="s">
        <v>856</v>
      </c>
      <c r="B848" s="48">
        <v>45889</v>
      </c>
      <c r="C848" t="s">
        <v>1012</v>
      </c>
      <c r="D848" t="s">
        <v>1022</v>
      </c>
      <c r="E848" s="47">
        <v>77</v>
      </c>
      <c r="F848" s="47">
        <v>1389</v>
      </c>
      <c r="G848" s="47">
        <v>106953</v>
      </c>
      <c r="H848" s="47" t="s">
        <v>1030</v>
      </c>
      <c r="I848" s="50" t="s">
        <v>1026</v>
      </c>
      <c r="J848" s="48" t="s">
        <v>1031</v>
      </c>
      <c r="K848" s="47" t="str">
        <f t="shared" si="13"/>
        <v/>
      </c>
    </row>
    <row r="849" spans="1:11" x14ac:dyDescent="0.25">
      <c r="A849" t="s">
        <v>857</v>
      </c>
      <c r="B849" s="48">
        <v>45757</v>
      </c>
      <c r="C849" t="s">
        <v>1012</v>
      </c>
      <c r="D849" t="s">
        <v>1020</v>
      </c>
      <c r="E849" s="47">
        <v>163</v>
      </c>
      <c r="F849" s="47">
        <v>1537</v>
      </c>
      <c r="G849" s="47">
        <v>250531</v>
      </c>
      <c r="H849" s="47" t="s">
        <v>1025</v>
      </c>
      <c r="I849" s="50" t="s">
        <v>1029</v>
      </c>
      <c r="J849" s="48" t="s">
        <v>1031</v>
      </c>
      <c r="K849" s="47" t="str">
        <f t="shared" si="13"/>
        <v/>
      </c>
    </row>
    <row r="850" spans="1:11" x14ac:dyDescent="0.25">
      <c r="A850" t="s">
        <v>858</v>
      </c>
      <c r="B850" s="48">
        <v>45916</v>
      </c>
      <c r="C850" t="s">
        <v>1010</v>
      </c>
      <c r="D850" t="s">
        <v>1016</v>
      </c>
      <c r="E850" s="47">
        <v>267</v>
      </c>
      <c r="F850" s="47">
        <v>1480</v>
      </c>
      <c r="G850" s="47">
        <v>395160</v>
      </c>
      <c r="H850" s="47" t="s">
        <v>1030</v>
      </c>
      <c r="I850" s="50" t="s">
        <v>1026</v>
      </c>
      <c r="J850" s="48" t="s">
        <v>1031</v>
      </c>
      <c r="K850" s="47" t="str">
        <f t="shared" si="13"/>
        <v/>
      </c>
    </row>
    <row r="851" spans="1:11" x14ac:dyDescent="0.25">
      <c r="A851" t="s">
        <v>859</v>
      </c>
      <c r="B851" s="48">
        <v>45903</v>
      </c>
      <c r="C851" t="s">
        <v>1014</v>
      </c>
      <c r="D851" t="s">
        <v>1022</v>
      </c>
      <c r="E851" s="47">
        <v>67</v>
      </c>
      <c r="F851" s="47">
        <v>1737</v>
      </c>
      <c r="G851" s="47">
        <v>116379</v>
      </c>
      <c r="H851" s="47" t="s">
        <v>1030</v>
      </c>
      <c r="I851" s="50" t="s">
        <v>1028</v>
      </c>
      <c r="J851" s="48">
        <v>45917</v>
      </c>
      <c r="K851" s="47">
        <f t="shared" si="13"/>
        <v>14</v>
      </c>
    </row>
    <row r="852" spans="1:11" x14ac:dyDescent="0.25">
      <c r="A852" t="s">
        <v>860</v>
      </c>
      <c r="B852" s="48">
        <v>46017</v>
      </c>
      <c r="C852" t="s">
        <v>1014</v>
      </c>
      <c r="D852" t="s">
        <v>1016</v>
      </c>
      <c r="E852" s="47">
        <v>476</v>
      </c>
      <c r="F852" s="47">
        <v>1493</v>
      </c>
      <c r="G852" s="47">
        <v>710668</v>
      </c>
      <c r="H852" s="47" t="s">
        <v>1027</v>
      </c>
      <c r="I852" s="50" t="s">
        <v>1028</v>
      </c>
      <c r="J852" s="48">
        <v>46023</v>
      </c>
      <c r="K852" s="47">
        <f t="shared" si="13"/>
        <v>6</v>
      </c>
    </row>
    <row r="853" spans="1:11" x14ac:dyDescent="0.25">
      <c r="A853" t="s">
        <v>861</v>
      </c>
      <c r="B853" s="48">
        <v>45777</v>
      </c>
      <c r="C853" t="s">
        <v>1012</v>
      </c>
      <c r="D853" t="s">
        <v>1024</v>
      </c>
      <c r="E853" s="47">
        <v>95</v>
      </c>
      <c r="F853" s="47">
        <v>487</v>
      </c>
      <c r="G853" s="47">
        <v>46265</v>
      </c>
      <c r="H853" s="47" t="s">
        <v>1027</v>
      </c>
      <c r="I853" s="50" t="s">
        <v>1029</v>
      </c>
      <c r="J853" s="48" t="s">
        <v>1031</v>
      </c>
      <c r="K853" s="47" t="str">
        <f t="shared" si="13"/>
        <v/>
      </c>
    </row>
    <row r="854" spans="1:11" x14ac:dyDescent="0.25">
      <c r="A854" t="s">
        <v>862</v>
      </c>
      <c r="B854" s="48">
        <v>45771</v>
      </c>
      <c r="C854" t="s">
        <v>1011</v>
      </c>
      <c r="D854" t="s">
        <v>1024</v>
      </c>
      <c r="E854" s="47">
        <v>162</v>
      </c>
      <c r="F854" s="47">
        <v>860</v>
      </c>
      <c r="G854" s="47">
        <v>139320</v>
      </c>
      <c r="H854" s="47" t="s">
        <v>1030</v>
      </c>
      <c r="I854" s="50" t="s">
        <v>1028</v>
      </c>
      <c r="J854" s="48">
        <v>45785</v>
      </c>
      <c r="K854" s="47">
        <f t="shared" si="13"/>
        <v>14</v>
      </c>
    </row>
    <row r="855" spans="1:11" x14ac:dyDescent="0.25">
      <c r="A855" t="s">
        <v>863</v>
      </c>
      <c r="B855" s="48">
        <v>45718</v>
      </c>
      <c r="C855" t="s">
        <v>1012</v>
      </c>
      <c r="D855" t="s">
        <v>1017</v>
      </c>
      <c r="E855" s="47">
        <v>115</v>
      </c>
      <c r="F855" s="47">
        <v>873</v>
      </c>
      <c r="G855" s="47">
        <v>100395</v>
      </c>
      <c r="H855" s="47" t="s">
        <v>1027</v>
      </c>
      <c r="I855" s="50" t="s">
        <v>1026</v>
      </c>
      <c r="J855" s="48" t="s">
        <v>1031</v>
      </c>
      <c r="K855" s="47" t="str">
        <f t="shared" si="13"/>
        <v/>
      </c>
    </row>
    <row r="856" spans="1:11" x14ac:dyDescent="0.25">
      <c r="A856" t="s">
        <v>864</v>
      </c>
      <c r="B856" s="48">
        <v>45725</v>
      </c>
      <c r="C856" t="s">
        <v>1012</v>
      </c>
      <c r="D856" t="s">
        <v>1022</v>
      </c>
      <c r="E856" s="47">
        <v>423</v>
      </c>
      <c r="F856" s="47">
        <v>1786</v>
      </c>
      <c r="G856" s="47">
        <v>755478</v>
      </c>
      <c r="H856" s="47" t="s">
        <v>1027</v>
      </c>
      <c r="I856" s="50" t="s">
        <v>1028</v>
      </c>
      <c r="J856" s="48">
        <v>45732</v>
      </c>
      <c r="K856" s="47">
        <f t="shared" si="13"/>
        <v>7</v>
      </c>
    </row>
    <row r="857" spans="1:11" x14ac:dyDescent="0.25">
      <c r="A857" t="s">
        <v>865</v>
      </c>
      <c r="B857" s="48">
        <v>45840</v>
      </c>
      <c r="C857" t="s">
        <v>1012</v>
      </c>
      <c r="D857" t="s">
        <v>1017</v>
      </c>
      <c r="E857" s="47">
        <v>336</v>
      </c>
      <c r="F857" s="47">
        <v>371</v>
      </c>
      <c r="G857" s="47">
        <v>124656</v>
      </c>
      <c r="H857" s="47" t="s">
        <v>1030</v>
      </c>
      <c r="I857" s="50" t="s">
        <v>1028</v>
      </c>
      <c r="J857" s="48">
        <v>45845</v>
      </c>
      <c r="K857" s="47">
        <f t="shared" si="13"/>
        <v>5</v>
      </c>
    </row>
    <row r="858" spans="1:11" x14ac:dyDescent="0.25">
      <c r="A858" t="s">
        <v>866</v>
      </c>
      <c r="B858" s="48">
        <v>45787</v>
      </c>
      <c r="C858" t="s">
        <v>1014</v>
      </c>
      <c r="D858" t="s">
        <v>1024</v>
      </c>
      <c r="E858" s="47">
        <v>432</v>
      </c>
      <c r="F858" s="47">
        <v>970</v>
      </c>
      <c r="G858" s="47">
        <v>419040</v>
      </c>
      <c r="H858" s="47" t="s">
        <v>1030</v>
      </c>
      <c r="I858" s="50" t="s">
        <v>1028</v>
      </c>
      <c r="J858" s="48">
        <v>45795</v>
      </c>
      <c r="K858" s="47">
        <f t="shared" si="13"/>
        <v>8</v>
      </c>
    </row>
    <row r="859" spans="1:11" x14ac:dyDescent="0.25">
      <c r="A859" t="s">
        <v>867</v>
      </c>
      <c r="B859" s="48">
        <v>45762</v>
      </c>
      <c r="C859" t="s">
        <v>1013</v>
      </c>
      <c r="D859" t="s">
        <v>1017</v>
      </c>
      <c r="E859" s="47">
        <v>316</v>
      </c>
      <c r="F859" s="47">
        <v>110</v>
      </c>
      <c r="G859" s="47">
        <v>34760</v>
      </c>
      <c r="H859" s="47" t="s">
        <v>1025</v>
      </c>
      <c r="I859" s="50" t="s">
        <v>1026</v>
      </c>
      <c r="J859" s="48" t="s">
        <v>1031</v>
      </c>
      <c r="K859" s="47" t="str">
        <f t="shared" si="13"/>
        <v/>
      </c>
    </row>
    <row r="860" spans="1:11" x14ac:dyDescent="0.25">
      <c r="A860" t="s">
        <v>868</v>
      </c>
      <c r="B860" s="48">
        <v>45786</v>
      </c>
      <c r="C860" t="s">
        <v>1011</v>
      </c>
      <c r="D860" t="s">
        <v>1016</v>
      </c>
      <c r="E860" s="47">
        <v>377</v>
      </c>
      <c r="F860" s="47">
        <v>385</v>
      </c>
      <c r="G860" s="47">
        <v>145145</v>
      </c>
      <c r="H860" s="47" t="s">
        <v>1025</v>
      </c>
      <c r="I860" s="50" t="s">
        <v>1029</v>
      </c>
      <c r="J860" s="48" t="s">
        <v>1031</v>
      </c>
      <c r="K860" s="47" t="str">
        <f t="shared" si="13"/>
        <v/>
      </c>
    </row>
    <row r="861" spans="1:11" x14ac:dyDescent="0.25">
      <c r="A861" t="s">
        <v>869</v>
      </c>
      <c r="B861" s="48">
        <v>45824</v>
      </c>
      <c r="C861" t="s">
        <v>1010</v>
      </c>
      <c r="D861" t="s">
        <v>1019</v>
      </c>
      <c r="E861" s="47">
        <v>341</v>
      </c>
      <c r="F861" s="47">
        <v>1493</v>
      </c>
      <c r="G861" s="47">
        <v>509113</v>
      </c>
      <c r="H861" s="47" t="s">
        <v>1027</v>
      </c>
      <c r="I861" s="50" t="s">
        <v>1028</v>
      </c>
      <c r="J861" s="48">
        <v>45837</v>
      </c>
      <c r="K861" s="47">
        <f t="shared" si="13"/>
        <v>13</v>
      </c>
    </row>
    <row r="862" spans="1:11" x14ac:dyDescent="0.25">
      <c r="A862" t="s">
        <v>870</v>
      </c>
      <c r="B862" s="48">
        <v>45747</v>
      </c>
      <c r="C862" t="s">
        <v>1011</v>
      </c>
      <c r="D862" t="s">
        <v>1019</v>
      </c>
      <c r="E862" s="47">
        <v>203</v>
      </c>
      <c r="F862" s="47">
        <v>1314</v>
      </c>
      <c r="G862" s="47">
        <v>266742</v>
      </c>
      <c r="H862" s="47" t="s">
        <v>1030</v>
      </c>
      <c r="I862" s="50" t="s">
        <v>1028</v>
      </c>
      <c r="J862" s="48">
        <v>45761</v>
      </c>
      <c r="K862" s="47">
        <f t="shared" si="13"/>
        <v>14</v>
      </c>
    </row>
    <row r="863" spans="1:11" x14ac:dyDescent="0.25">
      <c r="A863" t="s">
        <v>871</v>
      </c>
      <c r="B863" s="48">
        <v>45785</v>
      </c>
      <c r="C863" t="s">
        <v>1011</v>
      </c>
      <c r="D863" t="s">
        <v>1019</v>
      </c>
      <c r="E863" s="47">
        <v>433</v>
      </c>
      <c r="F863" s="47">
        <v>767</v>
      </c>
      <c r="G863" s="47">
        <v>332111</v>
      </c>
      <c r="H863" s="47" t="s">
        <v>1025</v>
      </c>
      <c r="I863" s="50" t="s">
        <v>1029</v>
      </c>
      <c r="J863" s="48" t="s">
        <v>1031</v>
      </c>
      <c r="K863" s="47" t="str">
        <f t="shared" si="13"/>
        <v/>
      </c>
    </row>
    <row r="864" spans="1:11" x14ac:dyDescent="0.25">
      <c r="A864" t="s">
        <v>872</v>
      </c>
      <c r="B864" s="48">
        <v>46004</v>
      </c>
      <c r="C864" t="s">
        <v>1011</v>
      </c>
      <c r="D864" t="s">
        <v>1016</v>
      </c>
      <c r="E864" s="47">
        <v>157</v>
      </c>
      <c r="F864" s="47">
        <v>1455</v>
      </c>
      <c r="G864" s="47">
        <v>228435</v>
      </c>
      <c r="H864" s="47" t="s">
        <v>1027</v>
      </c>
      <c r="I864" s="50" t="s">
        <v>1026</v>
      </c>
      <c r="J864" s="48" t="s">
        <v>1031</v>
      </c>
      <c r="K864" s="47" t="str">
        <f t="shared" si="13"/>
        <v/>
      </c>
    </row>
    <row r="865" spans="1:11" x14ac:dyDescent="0.25">
      <c r="A865" t="s">
        <v>873</v>
      </c>
      <c r="B865" s="48">
        <v>45745</v>
      </c>
      <c r="C865" t="s">
        <v>1014</v>
      </c>
      <c r="D865" t="s">
        <v>1019</v>
      </c>
      <c r="E865" s="47">
        <v>472</v>
      </c>
      <c r="F865" s="47">
        <v>1960</v>
      </c>
      <c r="G865" s="47">
        <v>925120</v>
      </c>
      <c r="H865" s="47" t="s">
        <v>1027</v>
      </c>
      <c r="I865" s="50" t="s">
        <v>1026</v>
      </c>
      <c r="J865" s="48" t="s">
        <v>1031</v>
      </c>
      <c r="K865" s="47" t="str">
        <f t="shared" si="13"/>
        <v/>
      </c>
    </row>
    <row r="866" spans="1:11" x14ac:dyDescent="0.25">
      <c r="A866" t="s">
        <v>874</v>
      </c>
      <c r="B866" s="48">
        <v>45952</v>
      </c>
      <c r="C866" t="s">
        <v>1013</v>
      </c>
      <c r="D866" t="s">
        <v>1023</v>
      </c>
      <c r="E866" s="47">
        <v>416</v>
      </c>
      <c r="F866" s="47">
        <v>489</v>
      </c>
      <c r="G866" s="47">
        <v>203424</v>
      </c>
      <c r="H866" s="47" t="s">
        <v>1027</v>
      </c>
      <c r="I866" s="50" t="s">
        <v>1029</v>
      </c>
      <c r="J866" s="48" t="s">
        <v>1031</v>
      </c>
      <c r="K866" s="47" t="str">
        <f t="shared" si="13"/>
        <v/>
      </c>
    </row>
    <row r="867" spans="1:11" x14ac:dyDescent="0.25">
      <c r="A867" t="s">
        <v>875</v>
      </c>
      <c r="B867" s="48">
        <v>45855</v>
      </c>
      <c r="C867" t="s">
        <v>1013</v>
      </c>
      <c r="D867" t="s">
        <v>1019</v>
      </c>
      <c r="E867" s="47">
        <v>140</v>
      </c>
      <c r="F867" s="47">
        <v>841</v>
      </c>
      <c r="G867" s="47">
        <v>117740</v>
      </c>
      <c r="H867" s="47" t="s">
        <v>1025</v>
      </c>
      <c r="I867" s="50" t="s">
        <v>1026</v>
      </c>
      <c r="J867" s="48" t="s">
        <v>1031</v>
      </c>
      <c r="K867" s="47" t="str">
        <f t="shared" si="13"/>
        <v/>
      </c>
    </row>
    <row r="868" spans="1:11" x14ac:dyDescent="0.25">
      <c r="A868" t="s">
        <v>876</v>
      </c>
      <c r="B868" s="48">
        <v>45777</v>
      </c>
      <c r="C868" t="s">
        <v>1014</v>
      </c>
      <c r="D868" t="s">
        <v>1022</v>
      </c>
      <c r="E868" s="47">
        <v>185</v>
      </c>
      <c r="F868" s="47">
        <v>1739</v>
      </c>
      <c r="G868" s="47">
        <v>321715</v>
      </c>
      <c r="H868" s="47" t="s">
        <v>1025</v>
      </c>
      <c r="I868" s="50" t="s">
        <v>1028</v>
      </c>
      <c r="J868" s="48">
        <v>45783</v>
      </c>
      <c r="K868" s="47">
        <f t="shared" si="13"/>
        <v>6</v>
      </c>
    </row>
    <row r="869" spans="1:11" x14ac:dyDescent="0.25">
      <c r="A869" t="s">
        <v>877</v>
      </c>
      <c r="B869" s="48">
        <v>45907</v>
      </c>
      <c r="C869" t="s">
        <v>1010</v>
      </c>
      <c r="D869" t="s">
        <v>1021</v>
      </c>
      <c r="E869" s="47">
        <v>243</v>
      </c>
      <c r="F869" s="47">
        <v>1417</v>
      </c>
      <c r="G869" s="47">
        <v>344331</v>
      </c>
      <c r="H869" s="47" t="s">
        <v>1027</v>
      </c>
      <c r="I869" s="50" t="s">
        <v>1026</v>
      </c>
      <c r="J869" s="48" t="s">
        <v>1031</v>
      </c>
      <c r="K869" s="47" t="str">
        <f t="shared" si="13"/>
        <v/>
      </c>
    </row>
    <row r="870" spans="1:11" x14ac:dyDescent="0.25">
      <c r="A870" t="s">
        <v>878</v>
      </c>
      <c r="B870" s="48">
        <v>45781</v>
      </c>
      <c r="C870" t="s">
        <v>1014</v>
      </c>
      <c r="D870" t="s">
        <v>1016</v>
      </c>
      <c r="E870" s="47">
        <v>82</v>
      </c>
      <c r="F870" s="47">
        <v>1162</v>
      </c>
      <c r="G870" s="47">
        <v>95284</v>
      </c>
      <c r="H870" s="47" t="s">
        <v>1030</v>
      </c>
      <c r="I870" s="50" t="s">
        <v>1026</v>
      </c>
      <c r="J870" s="48" t="s">
        <v>1031</v>
      </c>
      <c r="K870" s="47" t="str">
        <f t="shared" si="13"/>
        <v/>
      </c>
    </row>
    <row r="871" spans="1:11" x14ac:dyDescent="0.25">
      <c r="A871" t="s">
        <v>879</v>
      </c>
      <c r="B871" s="48">
        <v>45664</v>
      </c>
      <c r="C871" t="s">
        <v>1014</v>
      </c>
      <c r="D871" t="s">
        <v>1017</v>
      </c>
      <c r="E871" s="47">
        <v>499</v>
      </c>
      <c r="F871" s="47">
        <v>690</v>
      </c>
      <c r="G871" s="47">
        <v>344310</v>
      </c>
      <c r="H871" s="47" t="s">
        <v>1027</v>
      </c>
      <c r="I871" s="50" t="s">
        <v>1029</v>
      </c>
      <c r="J871" s="48" t="s">
        <v>1031</v>
      </c>
      <c r="K871" s="47" t="str">
        <f t="shared" si="13"/>
        <v/>
      </c>
    </row>
    <row r="872" spans="1:11" x14ac:dyDescent="0.25">
      <c r="A872" t="s">
        <v>880</v>
      </c>
      <c r="B872" s="48">
        <v>45791</v>
      </c>
      <c r="C872" t="s">
        <v>1014</v>
      </c>
      <c r="D872" t="s">
        <v>1018</v>
      </c>
      <c r="E872" s="47">
        <v>157</v>
      </c>
      <c r="F872" s="47">
        <v>1293</v>
      </c>
      <c r="G872" s="47">
        <v>203001</v>
      </c>
      <c r="H872" s="47" t="s">
        <v>1030</v>
      </c>
      <c r="I872" s="50" t="s">
        <v>1026</v>
      </c>
      <c r="J872" s="48" t="s">
        <v>1031</v>
      </c>
      <c r="K872" s="47" t="str">
        <f t="shared" si="13"/>
        <v/>
      </c>
    </row>
    <row r="873" spans="1:11" x14ac:dyDescent="0.25">
      <c r="A873" t="s">
        <v>881</v>
      </c>
      <c r="B873" s="48">
        <v>45717</v>
      </c>
      <c r="C873" t="s">
        <v>1013</v>
      </c>
      <c r="D873" t="s">
        <v>1021</v>
      </c>
      <c r="E873" s="47">
        <v>325</v>
      </c>
      <c r="F873" s="47">
        <v>1594</v>
      </c>
      <c r="G873" s="47">
        <v>518050</v>
      </c>
      <c r="H873" s="47" t="s">
        <v>1027</v>
      </c>
      <c r="I873" s="50" t="s">
        <v>1026</v>
      </c>
      <c r="J873" s="48" t="s">
        <v>1031</v>
      </c>
      <c r="K873" s="47" t="str">
        <f t="shared" si="13"/>
        <v/>
      </c>
    </row>
    <row r="874" spans="1:11" x14ac:dyDescent="0.25">
      <c r="A874" t="s">
        <v>882</v>
      </c>
      <c r="B874" s="48">
        <v>45860</v>
      </c>
      <c r="C874" t="s">
        <v>1011</v>
      </c>
      <c r="D874" t="s">
        <v>1024</v>
      </c>
      <c r="E874" s="47">
        <v>238</v>
      </c>
      <c r="F874" s="47">
        <v>896</v>
      </c>
      <c r="G874" s="47">
        <v>213248</v>
      </c>
      <c r="H874" s="47" t="s">
        <v>1025</v>
      </c>
      <c r="I874" s="50" t="s">
        <v>1026</v>
      </c>
      <c r="J874" s="48" t="s">
        <v>1031</v>
      </c>
      <c r="K874" s="47" t="str">
        <f t="shared" si="13"/>
        <v/>
      </c>
    </row>
    <row r="875" spans="1:11" x14ac:dyDescent="0.25">
      <c r="A875" t="s">
        <v>883</v>
      </c>
      <c r="B875" s="48">
        <v>45825</v>
      </c>
      <c r="C875" t="s">
        <v>1011</v>
      </c>
      <c r="D875" t="s">
        <v>1016</v>
      </c>
      <c r="E875" s="47">
        <v>414</v>
      </c>
      <c r="F875" s="47">
        <v>460</v>
      </c>
      <c r="G875" s="47">
        <v>190440</v>
      </c>
      <c r="H875" s="47" t="s">
        <v>1030</v>
      </c>
      <c r="I875" s="50" t="s">
        <v>1029</v>
      </c>
      <c r="J875" s="48" t="s">
        <v>1031</v>
      </c>
      <c r="K875" s="47" t="str">
        <f t="shared" si="13"/>
        <v/>
      </c>
    </row>
    <row r="876" spans="1:11" x14ac:dyDescent="0.25">
      <c r="A876" t="s">
        <v>884</v>
      </c>
      <c r="B876" s="48">
        <v>45668</v>
      </c>
      <c r="C876" t="s">
        <v>1010</v>
      </c>
      <c r="D876" t="s">
        <v>1023</v>
      </c>
      <c r="E876" s="47">
        <v>369</v>
      </c>
      <c r="F876" s="47">
        <v>1115</v>
      </c>
      <c r="G876" s="47">
        <v>411435</v>
      </c>
      <c r="H876" s="47" t="s">
        <v>1025</v>
      </c>
      <c r="I876" s="50" t="s">
        <v>1029</v>
      </c>
      <c r="J876" s="48" t="s">
        <v>1031</v>
      </c>
      <c r="K876" s="47" t="str">
        <f t="shared" si="13"/>
        <v/>
      </c>
    </row>
    <row r="877" spans="1:11" x14ac:dyDescent="0.25">
      <c r="A877" t="s">
        <v>885</v>
      </c>
      <c r="B877" s="48">
        <v>45931</v>
      </c>
      <c r="C877" t="s">
        <v>1013</v>
      </c>
      <c r="D877" t="s">
        <v>1023</v>
      </c>
      <c r="E877" s="47">
        <v>221</v>
      </c>
      <c r="F877" s="47">
        <v>896</v>
      </c>
      <c r="G877" s="47">
        <v>198016</v>
      </c>
      <c r="H877" s="47" t="s">
        <v>1027</v>
      </c>
      <c r="I877" s="50" t="s">
        <v>1029</v>
      </c>
      <c r="J877" s="48" t="s">
        <v>1031</v>
      </c>
      <c r="K877" s="47" t="str">
        <f t="shared" si="13"/>
        <v/>
      </c>
    </row>
    <row r="878" spans="1:11" x14ac:dyDescent="0.25">
      <c r="A878" t="s">
        <v>886</v>
      </c>
      <c r="B878" s="48">
        <v>45849</v>
      </c>
      <c r="C878" t="s">
        <v>1013</v>
      </c>
      <c r="D878" t="s">
        <v>1021</v>
      </c>
      <c r="E878" s="47">
        <v>453</v>
      </c>
      <c r="F878" s="47">
        <v>181</v>
      </c>
      <c r="G878" s="47">
        <v>81993</v>
      </c>
      <c r="H878" s="47" t="s">
        <v>1030</v>
      </c>
      <c r="I878" s="50" t="s">
        <v>1028</v>
      </c>
      <c r="J878" s="48">
        <v>45854</v>
      </c>
      <c r="K878" s="47">
        <f t="shared" si="13"/>
        <v>5</v>
      </c>
    </row>
    <row r="879" spans="1:11" x14ac:dyDescent="0.25">
      <c r="A879" t="s">
        <v>887</v>
      </c>
      <c r="B879" s="48">
        <v>45919</v>
      </c>
      <c r="C879" t="s">
        <v>1013</v>
      </c>
      <c r="D879" t="s">
        <v>1015</v>
      </c>
      <c r="E879" s="47">
        <v>90</v>
      </c>
      <c r="F879" s="47">
        <v>1695</v>
      </c>
      <c r="G879" s="47">
        <v>152550</v>
      </c>
      <c r="H879" s="47" t="s">
        <v>1030</v>
      </c>
      <c r="I879" s="50" t="s">
        <v>1026</v>
      </c>
      <c r="J879" s="48" t="s">
        <v>1031</v>
      </c>
      <c r="K879" s="47" t="str">
        <f t="shared" si="13"/>
        <v/>
      </c>
    </row>
    <row r="880" spans="1:11" x14ac:dyDescent="0.25">
      <c r="A880" t="s">
        <v>888</v>
      </c>
      <c r="B880" s="48">
        <v>45660</v>
      </c>
      <c r="C880" t="s">
        <v>1010</v>
      </c>
      <c r="D880" t="s">
        <v>1020</v>
      </c>
      <c r="E880" s="47">
        <v>261</v>
      </c>
      <c r="F880" s="47">
        <v>146</v>
      </c>
      <c r="G880" s="47">
        <v>38106</v>
      </c>
      <c r="H880" s="47" t="s">
        <v>1025</v>
      </c>
      <c r="I880" s="50" t="s">
        <v>1029</v>
      </c>
      <c r="J880" s="48" t="s">
        <v>1031</v>
      </c>
      <c r="K880" s="47" t="str">
        <f t="shared" si="13"/>
        <v/>
      </c>
    </row>
    <row r="881" spans="1:11" x14ac:dyDescent="0.25">
      <c r="A881" t="s">
        <v>889</v>
      </c>
      <c r="B881" s="48">
        <v>45741</v>
      </c>
      <c r="C881" t="s">
        <v>1014</v>
      </c>
      <c r="D881" t="s">
        <v>1016</v>
      </c>
      <c r="E881" s="47">
        <v>75</v>
      </c>
      <c r="F881" s="47">
        <v>1852</v>
      </c>
      <c r="G881" s="47">
        <v>138900</v>
      </c>
      <c r="H881" s="47" t="s">
        <v>1030</v>
      </c>
      <c r="I881" s="50" t="s">
        <v>1026</v>
      </c>
      <c r="J881" s="48" t="s">
        <v>1031</v>
      </c>
      <c r="K881" s="47" t="str">
        <f t="shared" si="13"/>
        <v/>
      </c>
    </row>
    <row r="882" spans="1:11" x14ac:dyDescent="0.25">
      <c r="A882" t="s">
        <v>890</v>
      </c>
      <c r="B882" s="48">
        <v>45887</v>
      </c>
      <c r="C882" t="s">
        <v>1012</v>
      </c>
      <c r="D882" t="s">
        <v>1021</v>
      </c>
      <c r="E882" s="47">
        <v>57</v>
      </c>
      <c r="F882" s="47">
        <v>1523</v>
      </c>
      <c r="G882" s="47">
        <v>86811</v>
      </c>
      <c r="H882" s="47" t="s">
        <v>1030</v>
      </c>
      <c r="I882" s="50" t="s">
        <v>1026</v>
      </c>
      <c r="J882" s="48" t="s">
        <v>1031</v>
      </c>
      <c r="K882" s="47" t="str">
        <f t="shared" si="13"/>
        <v/>
      </c>
    </row>
    <row r="883" spans="1:11" x14ac:dyDescent="0.25">
      <c r="A883" t="s">
        <v>891</v>
      </c>
      <c r="B883" s="48">
        <v>45838</v>
      </c>
      <c r="C883" t="s">
        <v>1014</v>
      </c>
      <c r="D883" t="s">
        <v>1017</v>
      </c>
      <c r="E883" s="47">
        <v>176</v>
      </c>
      <c r="F883" s="47">
        <v>265</v>
      </c>
      <c r="G883" s="47">
        <v>46640</v>
      </c>
      <c r="H883" s="47" t="s">
        <v>1027</v>
      </c>
      <c r="I883" s="50" t="s">
        <v>1026</v>
      </c>
      <c r="J883" s="48" t="s">
        <v>1031</v>
      </c>
      <c r="K883" s="47" t="str">
        <f t="shared" si="13"/>
        <v/>
      </c>
    </row>
    <row r="884" spans="1:11" x14ac:dyDescent="0.25">
      <c r="A884" t="s">
        <v>892</v>
      </c>
      <c r="B884" s="48">
        <v>45968</v>
      </c>
      <c r="C884" t="s">
        <v>1014</v>
      </c>
      <c r="D884" t="s">
        <v>1021</v>
      </c>
      <c r="E884" s="47">
        <v>131</v>
      </c>
      <c r="F884" s="47">
        <v>1120</v>
      </c>
      <c r="G884" s="47">
        <v>146720</v>
      </c>
      <c r="H884" s="47" t="s">
        <v>1027</v>
      </c>
      <c r="I884" s="50" t="s">
        <v>1026</v>
      </c>
      <c r="J884" s="48" t="s">
        <v>1031</v>
      </c>
      <c r="K884" s="47" t="str">
        <f t="shared" si="13"/>
        <v/>
      </c>
    </row>
    <row r="885" spans="1:11" x14ac:dyDescent="0.25">
      <c r="A885" t="s">
        <v>893</v>
      </c>
      <c r="B885" s="48">
        <v>45993</v>
      </c>
      <c r="C885" t="s">
        <v>1012</v>
      </c>
      <c r="D885" t="s">
        <v>1023</v>
      </c>
      <c r="E885" s="47">
        <v>277</v>
      </c>
      <c r="F885" s="47">
        <v>1897</v>
      </c>
      <c r="G885" s="47">
        <v>525469</v>
      </c>
      <c r="H885" s="47" t="s">
        <v>1025</v>
      </c>
      <c r="I885" s="50" t="s">
        <v>1029</v>
      </c>
      <c r="J885" s="48" t="s">
        <v>1031</v>
      </c>
      <c r="K885" s="47" t="str">
        <f t="shared" si="13"/>
        <v/>
      </c>
    </row>
    <row r="886" spans="1:11" x14ac:dyDescent="0.25">
      <c r="A886" t="s">
        <v>894</v>
      </c>
      <c r="B886" s="48">
        <v>45733</v>
      </c>
      <c r="C886" t="s">
        <v>1013</v>
      </c>
      <c r="D886" t="s">
        <v>1015</v>
      </c>
      <c r="E886" s="47">
        <v>142</v>
      </c>
      <c r="F886" s="47">
        <v>1085</v>
      </c>
      <c r="G886" s="47">
        <v>154070</v>
      </c>
      <c r="H886" s="47" t="s">
        <v>1025</v>
      </c>
      <c r="I886" s="50" t="s">
        <v>1026</v>
      </c>
      <c r="J886" s="48" t="s">
        <v>1031</v>
      </c>
      <c r="K886" s="47" t="str">
        <f t="shared" si="13"/>
        <v/>
      </c>
    </row>
    <row r="887" spans="1:11" x14ac:dyDescent="0.25">
      <c r="A887" t="s">
        <v>895</v>
      </c>
      <c r="B887" s="48">
        <v>45841</v>
      </c>
      <c r="C887" t="s">
        <v>1010</v>
      </c>
      <c r="D887" t="s">
        <v>1015</v>
      </c>
      <c r="E887" s="47">
        <v>362</v>
      </c>
      <c r="F887" s="47">
        <v>11</v>
      </c>
      <c r="G887" s="47">
        <v>3982</v>
      </c>
      <c r="H887" s="47" t="s">
        <v>1025</v>
      </c>
      <c r="I887" s="50" t="s">
        <v>1028</v>
      </c>
      <c r="J887" s="48">
        <v>45855</v>
      </c>
      <c r="K887" s="47">
        <f t="shared" si="13"/>
        <v>14</v>
      </c>
    </row>
    <row r="888" spans="1:11" x14ac:dyDescent="0.25">
      <c r="A888" t="s">
        <v>896</v>
      </c>
      <c r="B888" s="48">
        <v>46047</v>
      </c>
      <c r="C888" t="s">
        <v>1011</v>
      </c>
      <c r="D888" t="s">
        <v>1019</v>
      </c>
      <c r="E888" s="47">
        <v>9</v>
      </c>
      <c r="F888" s="47">
        <v>1070</v>
      </c>
      <c r="G888" s="47">
        <v>9630</v>
      </c>
      <c r="H888" s="47" t="s">
        <v>1030</v>
      </c>
      <c r="I888" s="50" t="s">
        <v>1028</v>
      </c>
      <c r="J888" s="48">
        <v>46061</v>
      </c>
      <c r="K888" s="47">
        <f t="shared" si="13"/>
        <v>14</v>
      </c>
    </row>
    <row r="889" spans="1:11" x14ac:dyDescent="0.25">
      <c r="A889" t="s">
        <v>897</v>
      </c>
      <c r="B889" s="48">
        <v>45947</v>
      </c>
      <c r="C889" t="s">
        <v>1011</v>
      </c>
      <c r="D889" t="s">
        <v>1021</v>
      </c>
      <c r="E889" s="47">
        <v>320</v>
      </c>
      <c r="F889" s="47">
        <v>1846</v>
      </c>
      <c r="G889" s="47">
        <v>590720</v>
      </c>
      <c r="H889" s="47" t="s">
        <v>1025</v>
      </c>
      <c r="I889" s="50" t="s">
        <v>1026</v>
      </c>
      <c r="J889" s="48" t="s">
        <v>1031</v>
      </c>
      <c r="K889" s="47" t="str">
        <f t="shared" si="13"/>
        <v/>
      </c>
    </row>
    <row r="890" spans="1:11" x14ac:dyDescent="0.25">
      <c r="A890" t="s">
        <v>898</v>
      </c>
      <c r="B890" s="48">
        <v>46007</v>
      </c>
      <c r="C890" t="s">
        <v>1011</v>
      </c>
      <c r="D890" t="s">
        <v>1022</v>
      </c>
      <c r="E890" s="47">
        <v>153</v>
      </c>
      <c r="F890" s="47">
        <v>545</v>
      </c>
      <c r="G890" s="47">
        <v>83385</v>
      </c>
      <c r="H890" s="47" t="s">
        <v>1030</v>
      </c>
      <c r="I890" s="50" t="s">
        <v>1026</v>
      </c>
      <c r="J890" s="48" t="s">
        <v>1031</v>
      </c>
      <c r="K890" s="47" t="str">
        <f t="shared" si="13"/>
        <v/>
      </c>
    </row>
    <row r="891" spans="1:11" x14ac:dyDescent="0.25">
      <c r="A891" t="s">
        <v>899</v>
      </c>
      <c r="B891" s="48">
        <v>46037</v>
      </c>
      <c r="C891" t="s">
        <v>1012</v>
      </c>
      <c r="D891" t="s">
        <v>1018</v>
      </c>
      <c r="E891" s="47">
        <v>334</v>
      </c>
      <c r="F891" s="47">
        <v>1162</v>
      </c>
      <c r="G891" s="47">
        <v>388108</v>
      </c>
      <c r="H891" s="47" t="s">
        <v>1025</v>
      </c>
      <c r="I891" s="50" t="s">
        <v>1026</v>
      </c>
      <c r="J891" s="48" t="s">
        <v>1031</v>
      </c>
      <c r="K891" s="47" t="str">
        <f t="shared" si="13"/>
        <v/>
      </c>
    </row>
    <row r="892" spans="1:11" x14ac:dyDescent="0.25">
      <c r="A892" t="s">
        <v>900</v>
      </c>
      <c r="B892" s="48">
        <v>45721</v>
      </c>
      <c r="C892" t="s">
        <v>1014</v>
      </c>
      <c r="D892" t="s">
        <v>1016</v>
      </c>
      <c r="E892" s="47">
        <v>108</v>
      </c>
      <c r="F892" s="47">
        <v>1889</v>
      </c>
      <c r="G892" s="47">
        <v>204012</v>
      </c>
      <c r="H892" s="47" t="s">
        <v>1025</v>
      </c>
      <c r="I892" s="50" t="s">
        <v>1026</v>
      </c>
      <c r="J892" s="48" t="s">
        <v>1031</v>
      </c>
      <c r="K892" s="47" t="str">
        <f t="shared" si="13"/>
        <v/>
      </c>
    </row>
    <row r="893" spans="1:11" x14ac:dyDescent="0.25">
      <c r="A893" t="s">
        <v>901</v>
      </c>
      <c r="B893" s="48">
        <v>45947</v>
      </c>
      <c r="C893" t="s">
        <v>1011</v>
      </c>
      <c r="D893" t="s">
        <v>1018</v>
      </c>
      <c r="E893" s="47">
        <v>182</v>
      </c>
      <c r="F893" s="47">
        <v>1705</v>
      </c>
      <c r="G893" s="47">
        <v>310310</v>
      </c>
      <c r="H893" s="47" t="s">
        <v>1030</v>
      </c>
      <c r="I893" s="50" t="s">
        <v>1029</v>
      </c>
      <c r="J893" s="48" t="s">
        <v>1031</v>
      </c>
      <c r="K893" s="47" t="str">
        <f t="shared" si="13"/>
        <v/>
      </c>
    </row>
    <row r="894" spans="1:11" x14ac:dyDescent="0.25">
      <c r="A894" t="s">
        <v>902</v>
      </c>
      <c r="B894" s="48">
        <v>45706</v>
      </c>
      <c r="C894" t="s">
        <v>1011</v>
      </c>
      <c r="D894" t="s">
        <v>1022</v>
      </c>
      <c r="E894" s="47">
        <v>458</v>
      </c>
      <c r="F894" s="47">
        <v>195</v>
      </c>
      <c r="G894" s="47">
        <v>89310</v>
      </c>
      <c r="H894" s="47" t="s">
        <v>1025</v>
      </c>
      <c r="I894" s="50" t="s">
        <v>1026</v>
      </c>
      <c r="J894" s="48" t="s">
        <v>1031</v>
      </c>
      <c r="K894" s="47" t="str">
        <f t="shared" si="13"/>
        <v/>
      </c>
    </row>
    <row r="895" spans="1:11" x14ac:dyDescent="0.25">
      <c r="A895" t="s">
        <v>903</v>
      </c>
      <c r="B895" s="48">
        <v>46013</v>
      </c>
      <c r="C895" t="s">
        <v>1011</v>
      </c>
      <c r="D895" t="s">
        <v>1022</v>
      </c>
      <c r="E895" s="47">
        <v>85</v>
      </c>
      <c r="F895" s="47">
        <v>866</v>
      </c>
      <c r="G895" s="47">
        <v>73610</v>
      </c>
      <c r="H895" s="47" t="s">
        <v>1027</v>
      </c>
      <c r="I895" s="50" t="s">
        <v>1029</v>
      </c>
      <c r="J895" s="48" t="s">
        <v>1031</v>
      </c>
      <c r="K895" s="47" t="str">
        <f t="shared" si="13"/>
        <v/>
      </c>
    </row>
    <row r="896" spans="1:11" x14ac:dyDescent="0.25">
      <c r="A896" t="s">
        <v>904</v>
      </c>
      <c r="B896" s="48">
        <v>45889</v>
      </c>
      <c r="C896" t="s">
        <v>1010</v>
      </c>
      <c r="D896" t="s">
        <v>1021</v>
      </c>
      <c r="E896" s="47">
        <v>69</v>
      </c>
      <c r="F896" s="47">
        <v>1831</v>
      </c>
      <c r="G896" s="47">
        <v>126339</v>
      </c>
      <c r="H896" s="47" t="s">
        <v>1025</v>
      </c>
      <c r="I896" s="50" t="s">
        <v>1028</v>
      </c>
      <c r="J896" s="48">
        <v>45896</v>
      </c>
      <c r="K896" s="47">
        <f t="shared" si="13"/>
        <v>7</v>
      </c>
    </row>
    <row r="897" spans="1:11" x14ac:dyDescent="0.25">
      <c r="A897" t="s">
        <v>905</v>
      </c>
      <c r="B897" s="48">
        <v>45725</v>
      </c>
      <c r="C897" t="s">
        <v>1013</v>
      </c>
      <c r="D897" t="s">
        <v>1016</v>
      </c>
      <c r="E897" s="47">
        <v>249</v>
      </c>
      <c r="F897" s="47">
        <v>604</v>
      </c>
      <c r="G897" s="47">
        <v>150396</v>
      </c>
      <c r="H897" s="47" t="s">
        <v>1025</v>
      </c>
      <c r="I897" s="50" t="s">
        <v>1029</v>
      </c>
      <c r="J897" s="48" t="s">
        <v>1031</v>
      </c>
      <c r="K897" s="47" t="str">
        <f t="shared" si="13"/>
        <v/>
      </c>
    </row>
    <row r="898" spans="1:11" x14ac:dyDescent="0.25">
      <c r="A898" t="s">
        <v>906</v>
      </c>
      <c r="B898" s="48">
        <v>45986</v>
      </c>
      <c r="C898" t="s">
        <v>1011</v>
      </c>
      <c r="D898" t="s">
        <v>1017</v>
      </c>
      <c r="E898" s="47">
        <v>306</v>
      </c>
      <c r="F898" s="47">
        <v>433</v>
      </c>
      <c r="G898" s="47">
        <v>132498</v>
      </c>
      <c r="H898" s="47" t="s">
        <v>1025</v>
      </c>
      <c r="I898" s="50" t="s">
        <v>1028</v>
      </c>
      <c r="J898" s="48">
        <v>45994</v>
      </c>
      <c r="K898" s="47">
        <f t="shared" ref="K898:K961" si="14">IF(J898="", "", J898-B898)</f>
        <v>8</v>
      </c>
    </row>
    <row r="899" spans="1:11" x14ac:dyDescent="0.25">
      <c r="A899" t="s">
        <v>907</v>
      </c>
      <c r="B899" s="48">
        <v>45776</v>
      </c>
      <c r="C899" t="s">
        <v>1010</v>
      </c>
      <c r="D899" t="s">
        <v>1023</v>
      </c>
      <c r="E899" s="47">
        <v>414</v>
      </c>
      <c r="F899" s="47">
        <v>16</v>
      </c>
      <c r="G899" s="47">
        <v>6624</v>
      </c>
      <c r="H899" s="47" t="s">
        <v>1025</v>
      </c>
      <c r="I899" s="50" t="s">
        <v>1029</v>
      </c>
      <c r="J899" s="48" t="s">
        <v>1031</v>
      </c>
      <c r="K899" s="47" t="str">
        <f t="shared" si="14"/>
        <v/>
      </c>
    </row>
    <row r="900" spans="1:11" x14ac:dyDescent="0.25">
      <c r="A900" t="s">
        <v>908</v>
      </c>
      <c r="B900" s="48">
        <v>45865</v>
      </c>
      <c r="C900" t="s">
        <v>1010</v>
      </c>
      <c r="D900" t="s">
        <v>1019</v>
      </c>
      <c r="E900" s="47">
        <v>363</v>
      </c>
      <c r="F900" s="47">
        <v>612</v>
      </c>
      <c r="G900" s="47">
        <v>222156</v>
      </c>
      <c r="H900" s="47" t="s">
        <v>1025</v>
      </c>
      <c r="I900" s="50" t="s">
        <v>1026</v>
      </c>
      <c r="J900" s="48" t="s">
        <v>1031</v>
      </c>
      <c r="K900" s="47" t="str">
        <f t="shared" si="14"/>
        <v/>
      </c>
    </row>
    <row r="901" spans="1:11" x14ac:dyDescent="0.25">
      <c r="A901" t="s">
        <v>909</v>
      </c>
      <c r="B901" s="48">
        <v>45930</v>
      </c>
      <c r="C901" t="s">
        <v>1010</v>
      </c>
      <c r="D901" t="s">
        <v>1022</v>
      </c>
      <c r="E901" s="47">
        <v>298</v>
      </c>
      <c r="F901" s="47">
        <v>1799</v>
      </c>
      <c r="G901" s="47">
        <v>536102</v>
      </c>
      <c r="H901" s="47" t="s">
        <v>1030</v>
      </c>
      <c r="I901" s="50" t="s">
        <v>1028</v>
      </c>
      <c r="J901" s="48">
        <v>45939</v>
      </c>
      <c r="K901" s="47">
        <f t="shared" si="14"/>
        <v>9</v>
      </c>
    </row>
    <row r="902" spans="1:11" x14ac:dyDescent="0.25">
      <c r="A902" t="s">
        <v>910</v>
      </c>
      <c r="B902" s="48">
        <v>46038</v>
      </c>
      <c r="C902" t="s">
        <v>1014</v>
      </c>
      <c r="D902" t="s">
        <v>1016</v>
      </c>
      <c r="E902" s="47">
        <v>446</v>
      </c>
      <c r="F902" s="47">
        <v>334</v>
      </c>
      <c r="G902" s="47">
        <v>148964</v>
      </c>
      <c r="H902" s="47" t="s">
        <v>1027</v>
      </c>
      <c r="I902" s="50" t="s">
        <v>1029</v>
      </c>
      <c r="J902" s="48" t="s">
        <v>1031</v>
      </c>
      <c r="K902" s="47" t="str">
        <f t="shared" si="14"/>
        <v/>
      </c>
    </row>
    <row r="903" spans="1:11" x14ac:dyDescent="0.25">
      <c r="A903" t="s">
        <v>911</v>
      </c>
      <c r="B903" s="48">
        <v>45867</v>
      </c>
      <c r="C903" t="s">
        <v>1010</v>
      </c>
      <c r="D903" t="s">
        <v>1023</v>
      </c>
      <c r="E903" s="47">
        <v>233</v>
      </c>
      <c r="F903" s="47">
        <v>805</v>
      </c>
      <c r="G903" s="47">
        <v>187565</v>
      </c>
      <c r="H903" s="47" t="s">
        <v>1027</v>
      </c>
      <c r="I903" s="50" t="s">
        <v>1026</v>
      </c>
      <c r="J903" s="48" t="s">
        <v>1031</v>
      </c>
      <c r="K903" s="47" t="str">
        <f t="shared" si="14"/>
        <v/>
      </c>
    </row>
    <row r="904" spans="1:11" x14ac:dyDescent="0.25">
      <c r="A904" t="s">
        <v>912</v>
      </c>
      <c r="B904" s="48">
        <v>45739</v>
      </c>
      <c r="C904" t="s">
        <v>1011</v>
      </c>
      <c r="D904" t="s">
        <v>1022</v>
      </c>
      <c r="E904" s="47">
        <v>459</v>
      </c>
      <c r="F904" s="47">
        <v>1622</v>
      </c>
      <c r="G904" s="47">
        <v>744498</v>
      </c>
      <c r="H904" s="47" t="s">
        <v>1027</v>
      </c>
      <c r="I904" s="50" t="s">
        <v>1026</v>
      </c>
      <c r="J904" s="48" t="s">
        <v>1031</v>
      </c>
      <c r="K904" s="47" t="str">
        <f t="shared" si="14"/>
        <v/>
      </c>
    </row>
    <row r="905" spans="1:11" x14ac:dyDescent="0.25">
      <c r="A905" t="s">
        <v>913</v>
      </c>
      <c r="B905" s="48">
        <v>45923</v>
      </c>
      <c r="C905" t="s">
        <v>1013</v>
      </c>
      <c r="D905" t="s">
        <v>1018</v>
      </c>
      <c r="E905" s="47">
        <v>95</v>
      </c>
      <c r="F905" s="47">
        <v>231</v>
      </c>
      <c r="G905" s="47">
        <v>21945</v>
      </c>
      <c r="H905" s="47" t="s">
        <v>1030</v>
      </c>
      <c r="I905" s="50" t="s">
        <v>1029</v>
      </c>
      <c r="J905" s="48" t="s">
        <v>1031</v>
      </c>
      <c r="K905" s="47" t="str">
        <f t="shared" si="14"/>
        <v/>
      </c>
    </row>
    <row r="906" spans="1:11" x14ac:dyDescent="0.25">
      <c r="A906" t="s">
        <v>914</v>
      </c>
      <c r="B906" s="48">
        <v>45691</v>
      </c>
      <c r="C906" t="s">
        <v>1010</v>
      </c>
      <c r="D906" t="s">
        <v>1021</v>
      </c>
      <c r="E906" s="47">
        <v>430</v>
      </c>
      <c r="F906" s="47">
        <v>670</v>
      </c>
      <c r="G906" s="47">
        <v>288100</v>
      </c>
      <c r="H906" s="47" t="s">
        <v>1027</v>
      </c>
      <c r="I906" s="50" t="s">
        <v>1028</v>
      </c>
      <c r="J906" s="48">
        <v>45703</v>
      </c>
      <c r="K906" s="47">
        <f t="shared" si="14"/>
        <v>12</v>
      </c>
    </row>
    <row r="907" spans="1:11" x14ac:dyDescent="0.25">
      <c r="A907" t="s">
        <v>915</v>
      </c>
      <c r="B907" s="48">
        <v>45932</v>
      </c>
      <c r="C907" t="s">
        <v>1010</v>
      </c>
      <c r="D907" t="s">
        <v>1021</v>
      </c>
      <c r="E907" s="47">
        <v>300</v>
      </c>
      <c r="F907" s="47">
        <v>1524</v>
      </c>
      <c r="G907" s="47">
        <v>457200</v>
      </c>
      <c r="H907" s="47" t="s">
        <v>1030</v>
      </c>
      <c r="I907" s="50" t="s">
        <v>1028</v>
      </c>
      <c r="J907" s="48">
        <v>45943</v>
      </c>
      <c r="K907" s="47">
        <f t="shared" si="14"/>
        <v>11</v>
      </c>
    </row>
    <row r="908" spans="1:11" x14ac:dyDescent="0.25">
      <c r="A908" t="s">
        <v>916</v>
      </c>
      <c r="B908" s="48">
        <v>45821</v>
      </c>
      <c r="C908" t="s">
        <v>1014</v>
      </c>
      <c r="D908" t="s">
        <v>1024</v>
      </c>
      <c r="E908" s="47">
        <v>364</v>
      </c>
      <c r="F908" s="47">
        <v>1965</v>
      </c>
      <c r="G908" s="47">
        <v>715260</v>
      </c>
      <c r="H908" s="47" t="s">
        <v>1025</v>
      </c>
      <c r="I908" s="50" t="s">
        <v>1028</v>
      </c>
      <c r="J908" s="48">
        <v>45830</v>
      </c>
      <c r="K908" s="47">
        <f t="shared" si="14"/>
        <v>9</v>
      </c>
    </row>
    <row r="909" spans="1:11" x14ac:dyDescent="0.25">
      <c r="A909" t="s">
        <v>917</v>
      </c>
      <c r="B909" s="48">
        <v>45831</v>
      </c>
      <c r="C909" t="s">
        <v>1014</v>
      </c>
      <c r="D909" t="s">
        <v>1016</v>
      </c>
      <c r="E909" s="47">
        <v>228</v>
      </c>
      <c r="F909" s="47">
        <v>425</v>
      </c>
      <c r="G909" s="47">
        <v>96900</v>
      </c>
      <c r="H909" s="47" t="s">
        <v>1027</v>
      </c>
      <c r="I909" s="50" t="s">
        <v>1028</v>
      </c>
      <c r="J909" s="48">
        <v>45841</v>
      </c>
      <c r="K909" s="47">
        <f t="shared" si="14"/>
        <v>10</v>
      </c>
    </row>
    <row r="910" spans="1:11" x14ac:dyDescent="0.25">
      <c r="A910" t="s">
        <v>918</v>
      </c>
      <c r="B910" s="48">
        <v>46023</v>
      </c>
      <c r="C910" t="s">
        <v>1010</v>
      </c>
      <c r="D910" t="s">
        <v>1016</v>
      </c>
      <c r="E910" s="47">
        <v>213</v>
      </c>
      <c r="F910" s="47">
        <v>345</v>
      </c>
      <c r="G910" s="47">
        <v>73485</v>
      </c>
      <c r="H910" s="47" t="s">
        <v>1025</v>
      </c>
      <c r="I910" s="50" t="s">
        <v>1029</v>
      </c>
      <c r="J910" s="48" t="s">
        <v>1031</v>
      </c>
      <c r="K910" s="47" t="str">
        <f t="shared" si="14"/>
        <v/>
      </c>
    </row>
    <row r="911" spans="1:11" x14ac:dyDescent="0.25">
      <c r="A911" t="s">
        <v>919</v>
      </c>
      <c r="B911" s="48">
        <v>45964</v>
      </c>
      <c r="C911" t="s">
        <v>1012</v>
      </c>
      <c r="D911" t="s">
        <v>1020</v>
      </c>
      <c r="E911" s="47">
        <v>134</v>
      </c>
      <c r="F911" s="47">
        <v>851</v>
      </c>
      <c r="G911" s="47">
        <v>114034</v>
      </c>
      <c r="H911" s="47" t="s">
        <v>1025</v>
      </c>
      <c r="I911" s="50" t="s">
        <v>1026</v>
      </c>
      <c r="J911" s="48" t="s">
        <v>1031</v>
      </c>
      <c r="K911" s="47" t="str">
        <f t="shared" si="14"/>
        <v/>
      </c>
    </row>
    <row r="912" spans="1:11" x14ac:dyDescent="0.25">
      <c r="A912" t="s">
        <v>920</v>
      </c>
      <c r="B912" s="48">
        <v>45978</v>
      </c>
      <c r="C912" t="s">
        <v>1012</v>
      </c>
      <c r="D912" t="s">
        <v>1016</v>
      </c>
      <c r="E912" s="47">
        <v>104</v>
      </c>
      <c r="F912" s="47">
        <v>1854</v>
      </c>
      <c r="G912" s="47">
        <v>192816</v>
      </c>
      <c r="H912" s="47" t="s">
        <v>1030</v>
      </c>
      <c r="I912" s="50" t="s">
        <v>1029</v>
      </c>
      <c r="J912" s="48" t="s">
        <v>1031</v>
      </c>
      <c r="K912" s="47" t="str">
        <f t="shared" si="14"/>
        <v/>
      </c>
    </row>
    <row r="913" spans="1:11" x14ac:dyDescent="0.25">
      <c r="A913" t="s">
        <v>921</v>
      </c>
      <c r="B913" s="48">
        <v>45891</v>
      </c>
      <c r="C913" t="s">
        <v>1011</v>
      </c>
      <c r="D913" t="s">
        <v>1017</v>
      </c>
      <c r="E913" s="47">
        <v>327</v>
      </c>
      <c r="F913" s="47">
        <v>1505</v>
      </c>
      <c r="G913" s="47">
        <v>492135</v>
      </c>
      <c r="H913" s="47" t="s">
        <v>1025</v>
      </c>
      <c r="I913" s="50" t="s">
        <v>1026</v>
      </c>
      <c r="J913" s="48" t="s">
        <v>1031</v>
      </c>
      <c r="K913" s="47" t="str">
        <f t="shared" si="14"/>
        <v/>
      </c>
    </row>
    <row r="914" spans="1:11" x14ac:dyDescent="0.25">
      <c r="A914" t="s">
        <v>922</v>
      </c>
      <c r="B914" s="48">
        <v>45699</v>
      </c>
      <c r="C914" t="s">
        <v>1011</v>
      </c>
      <c r="D914" t="s">
        <v>1015</v>
      </c>
      <c r="E914" s="47">
        <v>195</v>
      </c>
      <c r="F914" s="47">
        <v>1321</v>
      </c>
      <c r="G914" s="47">
        <v>257595</v>
      </c>
      <c r="H914" s="47" t="s">
        <v>1030</v>
      </c>
      <c r="I914" s="50" t="s">
        <v>1026</v>
      </c>
      <c r="J914" s="48" t="s">
        <v>1031</v>
      </c>
      <c r="K914" s="47" t="str">
        <f t="shared" si="14"/>
        <v/>
      </c>
    </row>
    <row r="915" spans="1:11" x14ac:dyDescent="0.25">
      <c r="A915" t="s">
        <v>923</v>
      </c>
      <c r="B915" s="48">
        <v>45941</v>
      </c>
      <c r="C915" t="s">
        <v>1013</v>
      </c>
      <c r="D915" t="s">
        <v>1023</v>
      </c>
      <c r="E915" s="47">
        <v>3</v>
      </c>
      <c r="F915" s="47">
        <v>150</v>
      </c>
      <c r="G915" s="47">
        <v>450</v>
      </c>
      <c r="H915" s="47" t="s">
        <v>1027</v>
      </c>
      <c r="I915" s="50" t="s">
        <v>1029</v>
      </c>
      <c r="J915" s="48" t="s">
        <v>1031</v>
      </c>
      <c r="K915" s="47" t="str">
        <f t="shared" si="14"/>
        <v/>
      </c>
    </row>
    <row r="916" spans="1:11" x14ac:dyDescent="0.25">
      <c r="A916" t="s">
        <v>924</v>
      </c>
      <c r="B916" s="48">
        <v>45892</v>
      </c>
      <c r="C916" t="s">
        <v>1012</v>
      </c>
      <c r="D916" t="s">
        <v>1022</v>
      </c>
      <c r="E916" s="47">
        <v>129</v>
      </c>
      <c r="F916" s="47">
        <v>1595</v>
      </c>
      <c r="G916" s="47">
        <v>205755</v>
      </c>
      <c r="H916" s="47" t="s">
        <v>1030</v>
      </c>
      <c r="I916" s="50" t="s">
        <v>1028</v>
      </c>
      <c r="J916" s="48">
        <v>45903</v>
      </c>
      <c r="K916" s="47">
        <f t="shared" si="14"/>
        <v>11</v>
      </c>
    </row>
    <row r="917" spans="1:11" x14ac:dyDescent="0.25">
      <c r="A917" t="s">
        <v>925</v>
      </c>
      <c r="B917" s="48">
        <v>46042</v>
      </c>
      <c r="C917" t="s">
        <v>1013</v>
      </c>
      <c r="D917" t="s">
        <v>1016</v>
      </c>
      <c r="E917" s="47">
        <v>211</v>
      </c>
      <c r="F917" s="47">
        <v>72</v>
      </c>
      <c r="G917" s="47">
        <v>15192</v>
      </c>
      <c r="H917" s="47" t="s">
        <v>1030</v>
      </c>
      <c r="I917" s="50" t="s">
        <v>1026</v>
      </c>
      <c r="J917" s="48" t="s">
        <v>1031</v>
      </c>
      <c r="K917" s="47" t="str">
        <f t="shared" si="14"/>
        <v/>
      </c>
    </row>
    <row r="918" spans="1:11" x14ac:dyDescent="0.25">
      <c r="A918" t="s">
        <v>926</v>
      </c>
      <c r="B918" s="48">
        <v>45754</v>
      </c>
      <c r="C918" t="s">
        <v>1014</v>
      </c>
      <c r="D918" t="s">
        <v>1017</v>
      </c>
      <c r="E918" s="47">
        <v>99</v>
      </c>
      <c r="F918" s="47">
        <v>396</v>
      </c>
      <c r="G918" s="47">
        <v>39204</v>
      </c>
      <c r="H918" s="47" t="s">
        <v>1030</v>
      </c>
      <c r="I918" s="50" t="s">
        <v>1026</v>
      </c>
      <c r="J918" s="48" t="s">
        <v>1031</v>
      </c>
      <c r="K918" s="47" t="str">
        <f t="shared" si="14"/>
        <v/>
      </c>
    </row>
    <row r="919" spans="1:11" x14ac:dyDescent="0.25">
      <c r="A919" t="s">
        <v>927</v>
      </c>
      <c r="B919" s="48">
        <v>45990</v>
      </c>
      <c r="C919" t="s">
        <v>1010</v>
      </c>
      <c r="D919" t="s">
        <v>1018</v>
      </c>
      <c r="E919" s="47">
        <v>230</v>
      </c>
      <c r="F919" s="47">
        <v>1957</v>
      </c>
      <c r="G919" s="47">
        <v>450110</v>
      </c>
      <c r="H919" s="47" t="s">
        <v>1027</v>
      </c>
      <c r="I919" s="50" t="s">
        <v>1029</v>
      </c>
      <c r="J919" s="48" t="s">
        <v>1031</v>
      </c>
      <c r="K919" s="47" t="str">
        <f t="shared" si="14"/>
        <v/>
      </c>
    </row>
    <row r="920" spans="1:11" x14ac:dyDescent="0.25">
      <c r="A920" t="s">
        <v>928</v>
      </c>
      <c r="B920" s="48">
        <v>45781</v>
      </c>
      <c r="C920" t="s">
        <v>1013</v>
      </c>
      <c r="D920" t="s">
        <v>1018</v>
      </c>
      <c r="E920" s="47">
        <v>137</v>
      </c>
      <c r="F920" s="47">
        <v>1606</v>
      </c>
      <c r="G920" s="47">
        <v>220022</v>
      </c>
      <c r="H920" s="47" t="s">
        <v>1030</v>
      </c>
      <c r="I920" s="50" t="s">
        <v>1028</v>
      </c>
      <c r="J920" s="48">
        <v>45793</v>
      </c>
      <c r="K920" s="47">
        <f t="shared" si="14"/>
        <v>12</v>
      </c>
    </row>
    <row r="921" spans="1:11" x14ac:dyDescent="0.25">
      <c r="A921" t="s">
        <v>929</v>
      </c>
      <c r="B921" s="48">
        <v>45988</v>
      </c>
      <c r="C921" t="s">
        <v>1012</v>
      </c>
      <c r="D921" t="s">
        <v>1016</v>
      </c>
      <c r="E921" s="47">
        <v>475</v>
      </c>
      <c r="F921" s="47">
        <v>1103</v>
      </c>
      <c r="G921" s="47">
        <v>523925</v>
      </c>
      <c r="H921" s="47" t="s">
        <v>1030</v>
      </c>
      <c r="I921" s="50" t="s">
        <v>1029</v>
      </c>
      <c r="J921" s="48" t="s">
        <v>1031</v>
      </c>
      <c r="K921" s="47" t="str">
        <f t="shared" si="14"/>
        <v/>
      </c>
    </row>
    <row r="922" spans="1:11" x14ac:dyDescent="0.25">
      <c r="A922" t="s">
        <v>930</v>
      </c>
      <c r="B922" s="48">
        <v>45961</v>
      </c>
      <c r="C922" t="s">
        <v>1011</v>
      </c>
      <c r="D922" t="s">
        <v>1022</v>
      </c>
      <c r="E922" s="47">
        <v>182</v>
      </c>
      <c r="F922" s="47">
        <v>551</v>
      </c>
      <c r="G922" s="47">
        <v>100282</v>
      </c>
      <c r="H922" s="47" t="s">
        <v>1027</v>
      </c>
      <c r="I922" s="50" t="s">
        <v>1026</v>
      </c>
      <c r="J922" s="48" t="s">
        <v>1031</v>
      </c>
      <c r="K922" s="47" t="str">
        <f t="shared" si="14"/>
        <v/>
      </c>
    </row>
    <row r="923" spans="1:11" x14ac:dyDescent="0.25">
      <c r="A923" t="s">
        <v>931</v>
      </c>
      <c r="B923" s="48">
        <v>46028</v>
      </c>
      <c r="C923" t="s">
        <v>1014</v>
      </c>
      <c r="D923" t="s">
        <v>1024</v>
      </c>
      <c r="E923" s="47">
        <v>332</v>
      </c>
      <c r="F923" s="47">
        <v>624</v>
      </c>
      <c r="G923" s="47">
        <v>207168</v>
      </c>
      <c r="H923" s="47" t="s">
        <v>1025</v>
      </c>
      <c r="I923" s="50" t="s">
        <v>1026</v>
      </c>
      <c r="J923" s="48" t="s">
        <v>1031</v>
      </c>
      <c r="K923" s="47" t="str">
        <f t="shared" si="14"/>
        <v/>
      </c>
    </row>
    <row r="924" spans="1:11" x14ac:dyDescent="0.25">
      <c r="A924" t="s">
        <v>932</v>
      </c>
      <c r="B924" s="48">
        <v>45779</v>
      </c>
      <c r="C924" t="s">
        <v>1014</v>
      </c>
      <c r="D924" t="s">
        <v>1023</v>
      </c>
      <c r="E924" s="47">
        <v>248</v>
      </c>
      <c r="F924" s="47">
        <v>856</v>
      </c>
      <c r="G924" s="47">
        <v>212288</v>
      </c>
      <c r="H924" s="47" t="s">
        <v>1025</v>
      </c>
      <c r="I924" s="50" t="s">
        <v>1028</v>
      </c>
      <c r="J924" s="48">
        <v>45789</v>
      </c>
      <c r="K924" s="47">
        <f t="shared" si="14"/>
        <v>10</v>
      </c>
    </row>
    <row r="925" spans="1:11" x14ac:dyDescent="0.25">
      <c r="A925" t="s">
        <v>933</v>
      </c>
      <c r="B925" s="48">
        <v>45964</v>
      </c>
      <c r="C925" t="s">
        <v>1011</v>
      </c>
      <c r="D925" t="s">
        <v>1016</v>
      </c>
      <c r="E925" s="47">
        <v>223</v>
      </c>
      <c r="F925" s="47">
        <v>213</v>
      </c>
      <c r="G925" s="47">
        <v>47499</v>
      </c>
      <c r="H925" s="47" t="s">
        <v>1025</v>
      </c>
      <c r="I925" s="50" t="s">
        <v>1028</v>
      </c>
      <c r="J925" s="48">
        <v>45970</v>
      </c>
      <c r="K925" s="47">
        <f t="shared" si="14"/>
        <v>6</v>
      </c>
    </row>
    <row r="926" spans="1:11" x14ac:dyDescent="0.25">
      <c r="A926" t="s">
        <v>934</v>
      </c>
      <c r="B926" s="48">
        <v>45720</v>
      </c>
      <c r="C926" t="s">
        <v>1013</v>
      </c>
      <c r="D926" t="s">
        <v>1024</v>
      </c>
      <c r="E926" s="47">
        <v>344</v>
      </c>
      <c r="F926" s="47">
        <v>1097</v>
      </c>
      <c r="G926" s="47">
        <v>377368</v>
      </c>
      <c r="H926" s="47" t="s">
        <v>1030</v>
      </c>
      <c r="I926" s="50" t="s">
        <v>1029</v>
      </c>
      <c r="J926" s="48" t="s">
        <v>1031</v>
      </c>
      <c r="K926" s="47" t="str">
        <f t="shared" si="14"/>
        <v/>
      </c>
    </row>
    <row r="927" spans="1:11" x14ac:dyDescent="0.25">
      <c r="A927" t="s">
        <v>935</v>
      </c>
      <c r="B927" s="48">
        <v>45896</v>
      </c>
      <c r="C927" t="s">
        <v>1013</v>
      </c>
      <c r="D927" t="s">
        <v>1024</v>
      </c>
      <c r="E927" s="47">
        <v>199</v>
      </c>
      <c r="F927" s="47">
        <v>1875</v>
      </c>
      <c r="G927" s="47">
        <v>373125</v>
      </c>
      <c r="H927" s="47" t="s">
        <v>1030</v>
      </c>
      <c r="I927" s="50" t="s">
        <v>1029</v>
      </c>
      <c r="J927" s="48" t="s">
        <v>1031</v>
      </c>
      <c r="K927" s="47" t="str">
        <f t="shared" si="14"/>
        <v/>
      </c>
    </row>
    <row r="928" spans="1:11" x14ac:dyDescent="0.25">
      <c r="A928" t="s">
        <v>936</v>
      </c>
      <c r="B928" s="48">
        <v>45898</v>
      </c>
      <c r="C928" t="s">
        <v>1011</v>
      </c>
      <c r="D928" t="s">
        <v>1017</v>
      </c>
      <c r="E928" s="47">
        <v>255</v>
      </c>
      <c r="F928" s="47">
        <v>361</v>
      </c>
      <c r="G928" s="47">
        <v>92055</v>
      </c>
      <c r="H928" s="47" t="s">
        <v>1030</v>
      </c>
      <c r="I928" s="50" t="s">
        <v>1029</v>
      </c>
      <c r="J928" s="48" t="s">
        <v>1031</v>
      </c>
      <c r="K928" s="47" t="str">
        <f t="shared" si="14"/>
        <v/>
      </c>
    </row>
    <row r="929" spans="1:11" x14ac:dyDescent="0.25">
      <c r="A929" t="s">
        <v>937</v>
      </c>
      <c r="B929" s="48">
        <v>45997</v>
      </c>
      <c r="C929" t="s">
        <v>1010</v>
      </c>
      <c r="D929" t="s">
        <v>1018</v>
      </c>
      <c r="E929" s="47">
        <v>474</v>
      </c>
      <c r="F929" s="47">
        <v>1860</v>
      </c>
      <c r="G929" s="47">
        <v>881640</v>
      </c>
      <c r="H929" s="47" t="s">
        <v>1030</v>
      </c>
      <c r="I929" s="50" t="s">
        <v>1026</v>
      </c>
      <c r="J929" s="48" t="s">
        <v>1031</v>
      </c>
      <c r="K929" s="47" t="str">
        <f t="shared" si="14"/>
        <v/>
      </c>
    </row>
    <row r="930" spans="1:11" x14ac:dyDescent="0.25">
      <c r="A930" t="s">
        <v>938</v>
      </c>
      <c r="B930" s="48">
        <v>45761</v>
      </c>
      <c r="C930" t="s">
        <v>1014</v>
      </c>
      <c r="D930" t="s">
        <v>1022</v>
      </c>
      <c r="E930" s="47">
        <v>182</v>
      </c>
      <c r="F930" s="47">
        <v>1303</v>
      </c>
      <c r="G930" s="47">
        <v>237146</v>
      </c>
      <c r="H930" s="47" t="s">
        <v>1030</v>
      </c>
      <c r="I930" s="50" t="s">
        <v>1029</v>
      </c>
      <c r="J930" s="48" t="s">
        <v>1031</v>
      </c>
      <c r="K930" s="47" t="str">
        <f t="shared" si="14"/>
        <v/>
      </c>
    </row>
    <row r="931" spans="1:11" x14ac:dyDescent="0.25">
      <c r="A931" t="s">
        <v>939</v>
      </c>
      <c r="B931" s="48">
        <v>45859</v>
      </c>
      <c r="C931" t="s">
        <v>1010</v>
      </c>
      <c r="D931" t="s">
        <v>1015</v>
      </c>
      <c r="E931" s="47">
        <v>219</v>
      </c>
      <c r="F931" s="47">
        <v>221</v>
      </c>
      <c r="G931" s="47">
        <v>48399</v>
      </c>
      <c r="H931" s="47" t="s">
        <v>1027</v>
      </c>
      <c r="I931" s="50" t="s">
        <v>1029</v>
      </c>
      <c r="J931" s="48" t="s">
        <v>1031</v>
      </c>
      <c r="K931" s="47" t="str">
        <f t="shared" si="14"/>
        <v/>
      </c>
    </row>
    <row r="932" spans="1:11" x14ac:dyDescent="0.25">
      <c r="A932" t="s">
        <v>940</v>
      </c>
      <c r="B932" s="48">
        <v>45991</v>
      </c>
      <c r="C932" t="s">
        <v>1011</v>
      </c>
      <c r="D932" t="s">
        <v>1024</v>
      </c>
      <c r="E932" s="47">
        <v>209</v>
      </c>
      <c r="F932" s="47">
        <v>210</v>
      </c>
      <c r="G932" s="47">
        <v>43890</v>
      </c>
      <c r="H932" s="47" t="s">
        <v>1030</v>
      </c>
      <c r="I932" s="50" t="s">
        <v>1028</v>
      </c>
      <c r="J932" s="48">
        <v>45996</v>
      </c>
      <c r="K932" s="47">
        <f t="shared" si="14"/>
        <v>5</v>
      </c>
    </row>
    <row r="933" spans="1:11" x14ac:dyDescent="0.25">
      <c r="A933" t="s">
        <v>941</v>
      </c>
      <c r="B933" s="48">
        <v>46030</v>
      </c>
      <c r="C933" t="s">
        <v>1010</v>
      </c>
      <c r="D933" t="s">
        <v>1024</v>
      </c>
      <c r="E933" s="47">
        <v>277</v>
      </c>
      <c r="F933" s="47">
        <v>1340</v>
      </c>
      <c r="G933" s="47">
        <v>371180</v>
      </c>
      <c r="H933" s="47" t="s">
        <v>1030</v>
      </c>
      <c r="I933" s="50" t="s">
        <v>1026</v>
      </c>
      <c r="J933" s="48" t="s">
        <v>1031</v>
      </c>
      <c r="K933" s="47" t="str">
        <f t="shared" si="14"/>
        <v/>
      </c>
    </row>
    <row r="934" spans="1:11" x14ac:dyDescent="0.25">
      <c r="A934" t="s">
        <v>942</v>
      </c>
      <c r="B934" s="48">
        <v>45904</v>
      </c>
      <c r="C934" t="s">
        <v>1013</v>
      </c>
      <c r="D934" t="s">
        <v>1017</v>
      </c>
      <c r="E934" s="47">
        <v>236</v>
      </c>
      <c r="F934" s="47">
        <v>111</v>
      </c>
      <c r="G934" s="47">
        <v>26196</v>
      </c>
      <c r="H934" s="47" t="s">
        <v>1025</v>
      </c>
      <c r="I934" s="50" t="s">
        <v>1026</v>
      </c>
      <c r="J934" s="48" t="s">
        <v>1031</v>
      </c>
      <c r="K934" s="47" t="str">
        <f t="shared" si="14"/>
        <v/>
      </c>
    </row>
    <row r="935" spans="1:11" x14ac:dyDescent="0.25">
      <c r="A935" t="s">
        <v>943</v>
      </c>
      <c r="B935" s="48">
        <v>45912</v>
      </c>
      <c r="C935" t="s">
        <v>1011</v>
      </c>
      <c r="D935" t="s">
        <v>1015</v>
      </c>
      <c r="E935" s="47">
        <v>388</v>
      </c>
      <c r="F935" s="47">
        <v>771</v>
      </c>
      <c r="G935" s="47">
        <v>299148</v>
      </c>
      <c r="H935" s="47" t="s">
        <v>1025</v>
      </c>
      <c r="I935" s="50" t="s">
        <v>1029</v>
      </c>
      <c r="J935" s="48" t="s">
        <v>1031</v>
      </c>
      <c r="K935" s="47" t="str">
        <f t="shared" si="14"/>
        <v/>
      </c>
    </row>
    <row r="936" spans="1:11" x14ac:dyDescent="0.25">
      <c r="A936" t="s">
        <v>944</v>
      </c>
      <c r="B936" s="48">
        <v>45969</v>
      </c>
      <c r="C936" t="s">
        <v>1010</v>
      </c>
      <c r="D936" t="s">
        <v>1018</v>
      </c>
      <c r="E936" s="47">
        <v>163</v>
      </c>
      <c r="F936" s="47">
        <v>1242</v>
      </c>
      <c r="G936" s="47">
        <v>202446</v>
      </c>
      <c r="H936" s="47" t="s">
        <v>1027</v>
      </c>
      <c r="I936" s="50" t="s">
        <v>1029</v>
      </c>
      <c r="J936" s="48" t="s">
        <v>1031</v>
      </c>
      <c r="K936" s="47" t="str">
        <f t="shared" si="14"/>
        <v/>
      </c>
    </row>
    <row r="937" spans="1:11" x14ac:dyDescent="0.25">
      <c r="A937" t="s">
        <v>945</v>
      </c>
      <c r="B937" s="48">
        <v>45833</v>
      </c>
      <c r="C937" t="s">
        <v>1013</v>
      </c>
      <c r="D937" t="s">
        <v>1020</v>
      </c>
      <c r="E937" s="47">
        <v>178</v>
      </c>
      <c r="F937" s="47">
        <v>32</v>
      </c>
      <c r="G937" s="47">
        <v>5696</v>
      </c>
      <c r="H937" s="47" t="s">
        <v>1027</v>
      </c>
      <c r="I937" s="50" t="s">
        <v>1029</v>
      </c>
      <c r="J937" s="48" t="s">
        <v>1031</v>
      </c>
      <c r="K937" s="47" t="str">
        <f t="shared" si="14"/>
        <v/>
      </c>
    </row>
    <row r="938" spans="1:11" x14ac:dyDescent="0.25">
      <c r="A938" t="s">
        <v>946</v>
      </c>
      <c r="B938" s="48">
        <v>45670</v>
      </c>
      <c r="C938" t="s">
        <v>1012</v>
      </c>
      <c r="D938" t="s">
        <v>1023</v>
      </c>
      <c r="E938" s="47">
        <v>191</v>
      </c>
      <c r="F938" s="47">
        <v>1609</v>
      </c>
      <c r="G938" s="47">
        <v>307319</v>
      </c>
      <c r="H938" s="47" t="s">
        <v>1027</v>
      </c>
      <c r="I938" s="50" t="s">
        <v>1029</v>
      </c>
      <c r="J938" s="48" t="s">
        <v>1031</v>
      </c>
      <c r="K938" s="47" t="str">
        <f t="shared" si="14"/>
        <v/>
      </c>
    </row>
    <row r="939" spans="1:11" x14ac:dyDescent="0.25">
      <c r="A939" t="s">
        <v>947</v>
      </c>
      <c r="B939" s="48">
        <v>45979</v>
      </c>
      <c r="C939" t="s">
        <v>1010</v>
      </c>
      <c r="D939" t="s">
        <v>1018</v>
      </c>
      <c r="E939" s="47">
        <v>254</v>
      </c>
      <c r="F939" s="47">
        <v>610</v>
      </c>
      <c r="G939" s="47">
        <v>154940</v>
      </c>
      <c r="H939" s="47" t="s">
        <v>1025</v>
      </c>
      <c r="I939" s="50" t="s">
        <v>1028</v>
      </c>
      <c r="J939" s="48">
        <v>45994</v>
      </c>
      <c r="K939" s="47">
        <f t="shared" si="14"/>
        <v>15</v>
      </c>
    </row>
    <row r="940" spans="1:11" x14ac:dyDescent="0.25">
      <c r="A940" t="s">
        <v>948</v>
      </c>
      <c r="B940" s="48">
        <v>45789</v>
      </c>
      <c r="C940" t="s">
        <v>1013</v>
      </c>
      <c r="D940" t="s">
        <v>1015</v>
      </c>
      <c r="E940" s="47">
        <v>184</v>
      </c>
      <c r="F940" s="47">
        <v>1492</v>
      </c>
      <c r="G940" s="47">
        <v>274528</v>
      </c>
      <c r="H940" s="47" t="s">
        <v>1030</v>
      </c>
      <c r="I940" s="50" t="s">
        <v>1028</v>
      </c>
      <c r="J940" s="48">
        <v>45798</v>
      </c>
      <c r="K940" s="47">
        <f t="shared" si="14"/>
        <v>9</v>
      </c>
    </row>
    <row r="941" spans="1:11" x14ac:dyDescent="0.25">
      <c r="A941" t="s">
        <v>949</v>
      </c>
      <c r="B941" s="48">
        <v>45883</v>
      </c>
      <c r="C941" t="s">
        <v>1014</v>
      </c>
      <c r="D941" t="s">
        <v>1022</v>
      </c>
      <c r="E941" s="47">
        <v>198</v>
      </c>
      <c r="F941" s="47">
        <v>1178</v>
      </c>
      <c r="G941" s="47">
        <v>233244</v>
      </c>
      <c r="H941" s="47" t="s">
        <v>1025</v>
      </c>
      <c r="I941" s="50" t="s">
        <v>1029</v>
      </c>
      <c r="J941" s="48" t="s">
        <v>1031</v>
      </c>
      <c r="K941" s="47" t="str">
        <f t="shared" si="14"/>
        <v/>
      </c>
    </row>
    <row r="942" spans="1:11" x14ac:dyDescent="0.25">
      <c r="A942" t="s">
        <v>950</v>
      </c>
      <c r="B942" s="48">
        <v>45743</v>
      </c>
      <c r="C942" t="s">
        <v>1013</v>
      </c>
      <c r="D942" t="s">
        <v>1023</v>
      </c>
      <c r="E942" s="47">
        <v>208</v>
      </c>
      <c r="F942" s="47">
        <v>112</v>
      </c>
      <c r="G942" s="47">
        <v>23296</v>
      </c>
      <c r="H942" s="47" t="s">
        <v>1027</v>
      </c>
      <c r="I942" s="50" t="s">
        <v>1029</v>
      </c>
      <c r="J942" s="48" t="s">
        <v>1031</v>
      </c>
      <c r="K942" s="47" t="str">
        <f t="shared" si="14"/>
        <v/>
      </c>
    </row>
    <row r="943" spans="1:11" x14ac:dyDescent="0.25">
      <c r="A943" t="s">
        <v>951</v>
      </c>
      <c r="B943" s="48">
        <v>45728</v>
      </c>
      <c r="C943" t="s">
        <v>1011</v>
      </c>
      <c r="D943" t="s">
        <v>1016</v>
      </c>
      <c r="E943" s="47">
        <v>424</v>
      </c>
      <c r="F943" s="47">
        <v>1689</v>
      </c>
      <c r="G943" s="47">
        <v>716136</v>
      </c>
      <c r="H943" s="47" t="s">
        <v>1030</v>
      </c>
      <c r="I943" s="50" t="s">
        <v>1029</v>
      </c>
      <c r="J943" s="48" t="s">
        <v>1031</v>
      </c>
      <c r="K943" s="47" t="str">
        <f t="shared" si="14"/>
        <v/>
      </c>
    </row>
    <row r="944" spans="1:11" x14ac:dyDescent="0.25">
      <c r="A944" t="s">
        <v>952</v>
      </c>
      <c r="B944" s="48">
        <v>45920</v>
      </c>
      <c r="C944" t="s">
        <v>1013</v>
      </c>
      <c r="D944" t="s">
        <v>1021</v>
      </c>
      <c r="E944" s="47">
        <v>137</v>
      </c>
      <c r="F944" s="47">
        <v>86</v>
      </c>
      <c r="G944" s="47">
        <v>11782</v>
      </c>
      <c r="H944" s="47" t="s">
        <v>1027</v>
      </c>
      <c r="I944" s="50" t="s">
        <v>1026</v>
      </c>
      <c r="J944" s="48" t="s">
        <v>1031</v>
      </c>
      <c r="K944" s="47" t="str">
        <f t="shared" si="14"/>
        <v/>
      </c>
    </row>
    <row r="945" spans="1:11" x14ac:dyDescent="0.25">
      <c r="A945" t="s">
        <v>953</v>
      </c>
      <c r="B945" s="48">
        <v>45660</v>
      </c>
      <c r="C945" t="s">
        <v>1014</v>
      </c>
      <c r="D945" t="s">
        <v>1023</v>
      </c>
      <c r="E945" s="47">
        <v>108</v>
      </c>
      <c r="F945" s="47">
        <v>1124</v>
      </c>
      <c r="G945" s="47">
        <v>121392</v>
      </c>
      <c r="H945" s="47" t="s">
        <v>1027</v>
      </c>
      <c r="I945" s="50" t="s">
        <v>1026</v>
      </c>
      <c r="J945" s="48" t="s">
        <v>1031</v>
      </c>
      <c r="K945" s="47" t="str">
        <f t="shared" si="14"/>
        <v/>
      </c>
    </row>
    <row r="946" spans="1:11" x14ac:dyDescent="0.25">
      <c r="A946" t="s">
        <v>954</v>
      </c>
      <c r="B946" s="48">
        <v>45740</v>
      </c>
      <c r="C946" t="s">
        <v>1013</v>
      </c>
      <c r="D946" t="s">
        <v>1018</v>
      </c>
      <c r="E946" s="47">
        <v>132</v>
      </c>
      <c r="F946" s="47">
        <v>1173</v>
      </c>
      <c r="G946" s="47">
        <v>154836</v>
      </c>
      <c r="H946" s="47" t="s">
        <v>1027</v>
      </c>
      <c r="I946" s="50" t="s">
        <v>1026</v>
      </c>
      <c r="J946" s="48" t="s">
        <v>1031</v>
      </c>
      <c r="K946" s="47" t="str">
        <f t="shared" si="14"/>
        <v/>
      </c>
    </row>
    <row r="947" spans="1:11" x14ac:dyDescent="0.25">
      <c r="A947" t="s">
        <v>955</v>
      </c>
      <c r="B947" s="48">
        <v>45768</v>
      </c>
      <c r="C947" t="s">
        <v>1013</v>
      </c>
      <c r="D947" t="s">
        <v>1021</v>
      </c>
      <c r="E947" s="47">
        <v>369</v>
      </c>
      <c r="F947" s="47">
        <v>1299</v>
      </c>
      <c r="G947" s="47">
        <v>479331</v>
      </c>
      <c r="H947" s="47" t="s">
        <v>1025</v>
      </c>
      <c r="I947" s="50" t="s">
        <v>1028</v>
      </c>
      <c r="J947" s="48">
        <v>45773</v>
      </c>
      <c r="K947" s="47">
        <f t="shared" si="14"/>
        <v>5</v>
      </c>
    </row>
    <row r="948" spans="1:11" x14ac:dyDescent="0.25">
      <c r="A948" t="s">
        <v>956</v>
      </c>
      <c r="B948" s="48">
        <v>45824</v>
      </c>
      <c r="C948" t="s">
        <v>1010</v>
      </c>
      <c r="D948" t="s">
        <v>1020</v>
      </c>
      <c r="E948" s="47">
        <v>160</v>
      </c>
      <c r="F948" s="47">
        <v>651</v>
      </c>
      <c r="G948" s="47">
        <v>104160</v>
      </c>
      <c r="H948" s="47" t="s">
        <v>1027</v>
      </c>
      <c r="I948" s="50" t="s">
        <v>1026</v>
      </c>
      <c r="J948" s="48" t="s">
        <v>1031</v>
      </c>
      <c r="K948" s="47" t="str">
        <f t="shared" si="14"/>
        <v/>
      </c>
    </row>
    <row r="949" spans="1:11" x14ac:dyDescent="0.25">
      <c r="A949" t="s">
        <v>957</v>
      </c>
      <c r="B949" s="48">
        <v>45927</v>
      </c>
      <c r="C949" t="s">
        <v>1011</v>
      </c>
      <c r="D949" t="s">
        <v>1016</v>
      </c>
      <c r="E949" s="47">
        <v>117</v>
      </c>
      <c r="F949" s="47">
        <v>84</v>
      </c>
      <c r="G949" s="47">
        <v>9828</v>
      </c>
      <c r="H949" s="47" t="s">
        <v>1030</v>
      </c>
      <c r="I949" s="50" t="s">
        <v>1028</v>
      </c>
      <c r="J949" s="48">
        <v>45941</v>
      </c>
      <c r="K949" s="47">
        <f t="shared" si="14"/>
        <v>14</v>
      </c>
    </row>
    <row r="950" spans="1:11" x14ac:dyDescent="0.25">
      <c r="A950" t="s">
        <v>958</v>
      </c>
      <c r="B950" s="48">
        <v>45749</v>
      </c>
      <c r="C950" t="s">
        <v>1013</v>
      </c>
      <c r="D950" t="s">
        <v>1019</v>
      </c>
      <c r="E950" s="47">
        <v>50</v>
      </c>
      <c r="F950" s="47">
        <v>1994</v>
      </c>
      <c r="G950" s="47">
        <v>99700</v>
      </c>
      <c r="H950" s="47" t="s">
        <v>1025</v>
      </c>
      <c r="I950" s="50" t="s">
        <v>1026</v>
      </c>
      <c r="J950" s="48" t="s">
        <v>1031</v>
      </c>
      <c r="K950" s="47" t="str">
        <f t="shared" si="14"/>
        <v/>
      </c>
    </row>
    <row r="951" spans="1:11" x14ac:dyDescent="0.25">
      <c r="A951" t="s">
        <v>959</v>
      </c>
      <c r="B951" s="48">
        <v>45906</v>
      </c>
      <c r="C951" t="s">
        <v>1014</v>
      </c>
      <c r="D951" t="s">
        <v>1017</v>
      </c>
      <c r="E951" s="47">
        <v>385</v>
      </c>
      <c r="F951" s="47">
        <v>864</v>
      </c>
      <c r="G951" s="47">
        <v>332640</v>
      </c>
      <c r="H951" s="47" t="s">
        <v>1027</v>
      </c>
      <c r="I951" s="50" t="s">
        <v>1026</v>
      </c>
      <c r="J951" s="48" t="s">
        <v>1031</v>
      </c>
      <c r="K951" s="47" t="str">
        <f t="shared" si="14"/>
        <v/>
      </c>
    </row>
    <row r="952" spans="1:11" x14ac:dyDescent="0.25">
      <c r="A952" t="s">
        <v>960</v>
      </c>
      <c r="B952" s="48">
        <v>46000</v>
      </c>
      <c r="C952" t="s">
        <v>1014</v>
      </c>
      <c r="D952" t="s">
        <v>1017</v>
      </c>
      <c r="E952" s="47">
        <v>248</v>
      </c>
      <c r="F952" s="47">
        <v>786</v>
      </c>
      <c r="G952" s="47">
        <v>194928</v>
      </c>
      <c r="H952" s="47" t="s">
        <v>1030</v>
      </c>
      <c r="I952" s="50" t="s">
        <v>1028</v>
      </c>
      <c r="J952" s="48">
        <v>46014</v>
      </c>
      <c r="K952" s="47">
        <f t="shared" si="14"/>
        <v>14</v>
      </c>
    </row>
    <row r="953" spans="1:11" x14ac:dyDescent="0.25">
      <c r="A953" t="s">
        <v>961</v>
      </c>
      <c r="B953" s="48">
        <v>45961</v>
      </c>
      <c r="C953" t="s">
        <v>1011</v>
      </c>
      <c r="D953" t="s">
        <v>1022</v>
      </c>
      <c r="E953" s="47">
        <v>326</v>
      </c>
      <c r="F953" s="47">
        <v>277</v>
      </c>
      <c r="G953" s="47">
        <v>90302</v>
      </c>
      <c r="H953" s="47" t="s">
        <v>1030</v>
      </c>
      <c r="I953" s="50" t="s">
        <v>1026</v>
      </c>
      <c r="J953" s="48" t="s">
        <v>1031</v>
      </c>
      <c r="K953" s="47" t="str">
        <f t="shared" si="14"/>
        <v/>
      </c>
    </row>
    <row r="954" spans="1:11" x14ac:dyDescent="0.25">
      <c r="A954" t="s">
        <v>962</v>
      </c>
      <c r="B954" s="48">
        <v>45962</v>
      </c>
      <c r="C954" t="s">
        <v>1014</v>
      </c>
      <c r="D954" t="s">
        <v>1023</v>
      </c>
      <c r="E954" s="47">
        <v>428</v>
      </c>
      <c r="F954" s="47">
        <v>1131</v>
      </c>
      <c r="G954" s="47">
        <v>484068</v>
      </c>
      <c r="H954" s="47" t="s">
        <v>1027</v>
      </c>
      <c r="I954" s="50" t="s">
        <v>1029</v>
      </c>
      <c r="J954" s="48" t="s">
        <v>1031</v>
      </c>
      <c r="K954" s="47" t="str">
        <f t="shared" si="14"/>
        <v/>
      </c>
    </row>
    <row r="955" spans="1:11" x14ac:dyDescent="0.25">
      <c r="A955" t="s">
        <v>963</v>
      </c>
      <c r="B955" s="48">
        <v>45781</v>
      </c>
      <c r="C955" t="s">
        <v>1011</v>
      </c>
      <c r="D955" t="s">
        <v>1023</v>
      </c>
      <c r="E955" s="47">
        <v>340</v>
      </c>
      <c r="F955" s="47">
        <v>1872</v>
      </c>
      <c r="G955" s="47">
        <v>636480</v>
      </c>
      <c r="H955" s="47" t="s">
        <v>1030</v>
      </c>
      <c r="I955" s="50" t="s">
        <v>1029</v>
      </c>
      <c r="J955" s="48" t="s">
        <v>1031</v>
      </c>
      <c r="K955" s="47" t="str">
        <f t="shared" si="14"/>
        <v/>
      </c>
    </row>
    <row r="956" spans="1:11" x14ac:dyDescent="0.25">
      <c r="A956" t="s">
        <v>964</v>
      </c>
      <c r="B956" s="48">
        <v>45724</v>
      </c>
      <c r="C956" t="s">
        <v>1014</v>
      </c>
      <c r="D956" t="s">
        <v>1020</v>
      </c>
      <c r="E956" s="47">
        <v>363</v>
      </c>
      <c r="F956" s="47">
        <v>1426</v>
      </c>
      <c r="G956" s="47">
        <v>517638</v>
      </c>
      <c r="H956" s="47" t="s">
        <v>1025</v>
      </c>
      <c r="I956" s="50" t="s">
        <v>1029</v>
      </c>
      <c r="J956" s="48" t="s">
        <v>1031</v>
      </c>
      <c r="K956" s="47" t="str">
        <f t="shared" si="14"/>
        <v/>
      </c>
    </row>
    <row r="957" spans="1:11" x14ac:dyDescent="0.25">
      <c r="A957" t="s">
        <v>965</v>
      </c>
      <c r="B957" s="48">
        <v>45880</v>
      </c>
      <c r="C957" t="s">
        <v>1011</v>
      </c>
      <c r="D957" t="s">
        <v>1024</v>
      </c>
      <c r="E957" s="47">
        <v>377</v>
      </c>
      <c r="F957" s="47">
        <v>1583</v>
      </c>
      <c r="G957" s="47">
        <v>596791</v>
      </c>
      <c r="H957" s="47" t="s">
        <v>1030</v>
      </c>
      <c r="I957" s="50" t="s">
        <v>1026</v>
      </c>
      <c r="J957" s="48" t="s">
        <v>1031</v>
      </c>
      <c r="K957" s="47" t="str">
        <f t="shared" si="14"/>
        <v/>
      </c>
    </row>
    <row r="958" spans="1:11" x14ac:dyDescent="0.25">
      <c r="A958" t="s">
        <v>966</v>
      </c>
      <c r="B958" s="48">
        <v>45901</v>
      </c>
      <c r="C958" t="s">
        <v>1014</v>
      </c>
      <c r="D958" t="s">
        <v>1016</v>
      </c>
      <c r="E958" s="47">
        <v>119</v>
      </c>
      <c r="F958" s="47">
        <v>1284</v>
      </c>
      <c r="G958" s="47">
        <v>152796</v>
      </c>
      <c r="H958" s="47" t="s">
        <v>1027</v>
      </c>
      <c r="I958" s="50" t="s">
        <v>1029</v>
      </c>
      <c r="J958" s="48" t="s">
        <v>1031</v>
      </c>
      <c r="K958" s="47" t="str">
        <f t="shared" si="14"/>
        <v/>
      </c>
    </row>
    <row r="959" spans="1:11" x14ac:dyDescent="0.25">
      <c r="A959" t="s">
        <v>967</v>
      </c>
      <c r="B959" s="48">
        <v>45735</v>
      </c>
      <c r="C959" t="s">
        <v>1013</v>
      </c>
      <c r="D959" t="s">
        <v>1017</v>
      </c>
      <c r="E959" s="47">
        <v>474</v>
      </c>
      <c r="F959" s="47">
        <v>513</v>
      </c>
      <c r="G959" s="47">
        <v>243162</v>
      </c>
      <c r="H959" s="47" t="s">
        <v>1030</v>
      </c>
      <c r="I959" s="50" t="s">
        <v>1026</v>
      </c>
      <c r="J959" s="48" t="s">
        <v>1031</v>
      </c>
      <c r="K959" s="47" t="str">
        <f t="shared" si="14"/>
        <v/>
      </c>
    </row>
    <row r="960" spans="1:11" x14ac:dyDescent="0.25">
      <c r="A960" t="s">
        <v>968</v>
      </c>
      <c r="B960" s="48">
        <v>45808</v>
      </c>
      <c r="C960" t="s">
        <v>1013</v>
      </c>
      <c r="D960" t="s">
        <v>1022</v>
      </c>
      <c r="E960" s="47">
        <v>487</v>
      </c>
      <c r="F960" s="47">
        <v>337</v>
      </c>
      <c r="G960" s="47">
        <v>164119</v>
      </c>
      <c r="H960" s="47" t="s">
        <v>1027</v>
      </c>
      <c r="I960" s="50" t="s">
        <v>1028</v>
      </c>
      <c r="J960" s="48">
        <v>45817</v>
      </c>
      <c r="K960" s="47">
        <f t="shared" si="14"/>
        <v>9</v>
      </c>
    </row>
    <row r="961" spans="1:11" x14ac:dyDescent="0.25">
      <c r="A961" t="s">
        <v>969</v>
      </c>
      <c r="B961" s="48">
        <v>45778</v>
      </c>
      <c r="C961" t="s">
        <v>1012</v>
      </c>
      <c r="D961" t="s">
        <v>1024</v>
      </c>
      <c r="E961" s="47">
        <v>488</v>
      </c>
      <c r="F961" s="47">
        <v>677</v>
      </c>
      <c r="G961" s="47">
        <v>330376</v>
      </c>
      <c r="H961" s="47" t="s">
        <v>1025</v>
      </c>
      <c r="I961" s="50" t="s">
        <v>1028</v>
      </c>
      <c r="J961" s="48">
        <v>45786</v>
      </c>
      <c r="K961" s="47">
        <f t="shared" si="14"/>
        <v>8</v>
      </c>
    </row>
    <row r="962" spans="1:11" x14ac:dyDescent="0.25">
      <c r="A962" t="s">
        <v>970</v>
      </c>
      <c r="B962" s="48">
        <v>45696</v>
      </c>
      <c r="C962" t="s">
        <v>1010</v>
      </c>
      <c r="D962" t="s">
        <v>1019</v>
      </c>
      <c r="E962" s="47">
        <v>207</v>
      </c>
      <c r="F962" s="47">
        <v>1199</v>
      </c>
      <c r="G962" s="47">
        <v>248193</v>
      </c>
      <c r="H962" s="47" t="s">
        <v>1025</v>
      </c>
      <c r="I962" s="50" t="s">
        <v>1026</v>
      </c>
      <c r="J962" s="48" t="s">
        <v>1031</v>
      </c>
      <c r="K962" s="47" t="str">
        <f t="shared" ref="K962:K1001" si="15">IF(J962="", "", J962-B962)</f>
        <v/>
      </c>
    </row>
    <row r="963" spans="1:11" x14ac:dyDescent="0.25">
      <c r="A963" t="s">
        <v>971</v>
      </c>
      <c r="B963" s="48">
        <v>45659</v>
      </c>
      <c r="C963" t="s">
        <v>1010</v>
      </c>
      <c r="D963" t="s">
        <v>1020</v>
      </c>
      <c r="E963" s="47">
        <v>25</v>
      </c>
      <c r="F963" s="47">
        <v>834</v>
      </c>
      <c r="G963" s="47">
        <v>20850</v>
      </c>
      <c r="H963" s="47" t="s">
        <v>1025</v>
      </c>
      <c r="I963" s="50" t="s">
        <v>1028</v>
      </c>
      <c r="J963" s="48">
        <v>45666</v>
      </c>
      <c r="K963" s="47">
        <f t="shared" si="15"/>
        <v>7</v>
      </c>
    </row>
    <row r="964" spans="1:11" x14ac:dyDescent="0.25">
      <c r="A964" t="s">
        <v>972</v>
      </c>
      <c r="B964" s="48">
        <v>45731</v>
      </c>
      <c r="C964" t="s">
        <v>1014</v>
      </c>
      <c r="D964" t="s">
        <v>1018</v>
      </c>
      <c r="E964" s="47">
        <v>234</v>
      </c>
      <c r="F964" s="47">
        <v>658</v>
      </c>
      <c r="G964" s="47">
        <v>153972</v>
      </c>
      <c r="H964" s="47" t="s">
        <v>1030</v>
      </c>
      <c r="I964" s="50" t="s">
        <v>1026</v>
      </c>
      <c r="J964" s="48" t="s">
        <v>1031</v>
      </c>
      <c r="K964" s="47" t="str">
        <f t="shared" si="15"/>
        <v/>
      </c>
    </row>
    <row r="965" spans="1:11" x14ac:dyDescent="0.25">
      <c r="A965" t="s">
        <v>973</v>
      </c>
      <c r="B965" s="48">
        <v>45757</v>
      </c>
      <c r="C965" t="s">
        <v>1014</v>
      </c>
      <c r="D965" t="s">
        <v>1020</v>
      </c>
      <c r="E965" s="47">
        <v>89</v>
      </c>
      <c r="F965" s="47">
        <v>942</v>
      </c>
      <c r="G965" s="47">
        <v>83838</v>
      </c>
      <c r="H965" s="47" t="s">
        <v>1025</v>
      </c>
      <c r="I965" s="50" t="s">
        <v>1026</v>
      </c>
      <c r="J965" s="48" t="s">
        <v>1031</v>
      </c>
      <c r="K965" s="47" t="str">
        <f t="shared" si="15"/>
        <v/>
      </c>
    </row>
    <row r="966" spans="1:11" x14ac:dyDescent="0.25">
      <c r="A966" t="s">
        <v>974</v>
      </c>
      <c r="B966" s="48">
        <v>45699</v>
      </c>
      <c r="C966" t="s">
        <v>1012</v>
      </c>
      <c r="D966" t="s">
        <v>1022</v>
      </c>
      <c r="E966" s="47">
        <v>297</v>
      </c>
      <c r="F966" s="47">
        <v>1186</v>
      </c>
      <c r="G966" s="47">
        <v>352242</v>
      </c>
      <c r="H966" s="47" t="s">
        <v>1025</v>
      </c>
      <c r="I966" s="50" t="s">
        <v>1026</v>
      </c>
      <c r="J966" s="48" t="s">
        <v>1031</v>
      </c>
      <c r="K966" s="47" t="str">
        <f t="shared" si="15"/>
        <v/>
      </c>
    </row>
    <row r="967" spans="1:11" x14ac:dyDescent="0.25">
      <c r="A967" t="s">
        <v>975</v>
      </c>
      <c r="B967" s="48">
        <v>45817</v>
      </c>
      <c r="C967" t="s">
        <v>1011</v>
      </c>
      <c r="D967" t="s">
        <v>1018</v>
      </c>
      <c r="E967" s="47">
        <v>462</v>
      </c>
      <c r="F967" s="47">
        <v>1661</v>
      </c>
      <c r="G967" s="47">
        <v>767382</v>
      </c>
      <c r="H967" s="47" t="s">
        <v>1030</v>
      </c>
      <c r="I967" s="50" t="s">
        <v>1028</v>
      </c>
      <c r="J967" s="48">
        <v>45828</v>
      </c>
      <c r="K967" s="47">
        <f t="shared" si="15"/>
        <v>11</v>
      </c>
    </row>
    <row r="968" spans="1:11" x14ac:dyDescent="0.25">
      <c r="A968" t="s">
        <v>976</v>
      </c>
      <c r="B968" s="48">
        <v>45739</v>
      </c>
      <c r="C968" t="s">
        <v>1013</v>
      </c>
      <c r="D968" t="s">
        <v>1019</v>
      </c>
      <c r="E968" s="47">
        <v>210</v>
      </c>
      <c r="F968" s="47">
        <v>1177</v>
      </c>
      <c r="G968" s="47">
        <v>247170</v>
      </c>
      <c r="H968" s="47" t="s">
        <v>1030</v>
      </c>
      <c r="I968" s="50" t="s">
        <v>1029</v>
      </c>
      <c r="J968" s="48" t="s">
        <v>1031</v>
      </c>
      <c r="K968" s="47" t="str">
        <f t="shared" si="15"/>
        <v/>
      </c>
    </row>
    <row r="969" spans="1:11" x14ac:dyDescent="0.25">
      <c r="A969" t="s">
        <v>977</v>
      </c>
      <c r="B969" s="48">
        <v>45876</v>
      </c>
      <c r="C969" t="s">
        <v>1010</v>
      </c>
      <c r="D969" t="s">
        <v>1016</v>
      </c>
      <c r="E969" s="47">
        <v>158</v>
      </c>
      <c r="F969" s="47">
        <v>1447</v>
      </c>
      <c r="G969" s="47">
        <v>228626</v>
      </c>
      <c r="H969" s="47" t="s">
        <v>1027</v>
      </c>
      <c r="I969" s="50" t="s">
        <v>1029</v>
      </c>
      <c r="J969" s="48" t="s">
        <v>1031</v>
      </c>
      <c r="K969" s="47" t="str">
        <f t="shared" si="15"/>
        <v/>
      </c>
    </row>
    <row r="970" spans="1:11" x14ac:dyDescent="0.25">
      <c r="A970" t="s">
        <v>978</v>
      </c>
      <c r="B970" s="48">
        <v>45810</v>
      </c>
      <c r="C970" t="s">
        <v>1010</v>
      </c>
      <c r="D970" t="s">
        <v>1023</v>
      </c>
      <c r="E970" s="47">
        <v>70</v>
      </c>
      <c r="F970" s="47">
        <v>168</v>
      </c>
      <c r="G970" s="47">
        <v>11760</v>
      </c>
      <c r="H970" s="47" t="s">
        <v>1030</v>
      </c>
      <c r="I970" s="50" t="s">
        <v>1028</v>
      </c>
      <c r="J970" s="48">
        <v>45821</v>
      </c>
      <c r="K970" s="47">
        <f t="shared" si="15"/>
        <v>11</v>
      </c>
    </row>
    <row r="971" spans="1:11" x14ac:dyDescent="0.25">
      <c r="A971" t="s">
        <v>979</v>
      </c>
      <c r="B971" s="48">
        <v>45810</v>
      </c>
      <c r="C971" t="s">
        <v>1012</v>
      </c>
      <c r="D971" t="s">
        <v>1021</v>
      </c>
      <c r="E971" s="47">
        <v>286</v>
      </c>
      <c r="F971" s="47">
        <v>1640</v>
      </c>
      <c r="G971" s="47">
        <v>469040</v>
      </c>
      <c r="H971" s="47" t="s">
        <v>1030</v>
      </c>
      <c r="I971" s="50" t="s">
        <v>1026</v>
      </c>
      <c r="J971" s="48" t="s">
        <v>1031</v>
      </c>
      <c r="K971" s="47" t="str">
        <f t="shared" si="15"/>
        <v/>
      </c>
    </row>
    <row r="972" spans="1:11" x14ac:dyDescent="0.25">
      <c r="A972" t="s">
        <v>980</v>
      </c>
      <c r="B972" s="48">
        <v>45915</v>
      </c>
      <c r="C972" t="s">
        <v>1012</v>
      </c>
      <c r="D972" t="s">
        <v>1023</v>
      </c>
      <c r="E972" s="47">
        <v>88</v>
      </c>
      <c r="F972" s="47">
        <v>1408</v>
      </c>
      <c r="G972" s="47">
        <v>123904</v>
      </c>
      <c r="H972" s="47" t="s">
        <v>1027</v>
      </c>
      <c r="I972" s="50" t="s">
        <v>1028</v>
      </c>
      <c r="J972" s="48">
        <v>45925</v>
      </c>
      <c r="K972" s="47">
        <f t="shared" si="15"/>
        <v>10</v>
      </c>
    </row>
    <row r="973" spans="1:11" x14ac:dyDescent="0.25">
      <c r="A973" t="s">
        <v>981</v>
      </c>
      <c r="B973" s="48">
        <v>45727</v>
      </c>
      <c r="C973" t="s">
        <v>1013</v>
      </c>
      <c r="D973" t="s">
        <v>1019</v>
      </c>
      <c r="E973" s="47">
        <v>388</v>
      </c>
      <c r="F973" s="47">
        <v>837</v>
      </c>
      <c r="G973" s="47">
        <v>324756</v>
      </c>
      <c r="H973" s="47" t="s">
        <v>1027</v>
      </c>
      <c r="I973" s="50" t="s">
        <v>1026</v>
      </c>
      <c r="J973" s="48" t="s">
        <v>1031</v>
      </c>
      <c r="K973" s="47" t="str">
        <f t="shared" si="15"/>
        <v/>
      </c>
    </row>
    <row r="974" spans="1:11" x14ac:dyDescent="0.25">
      <c r="A974" t="s">
        <v>982</v>
      </c>
      <c r="B974" s="48">
        <v>46039</v>
      </c>
      <c r="C974" t="s">
        <v>1014</v>
      </c>
      <c r="D974" t="s">
        <v>1022</v>
      </c>
      <c r="E974" s="47">
        <v>314</v>
      </c>
      <c r="F974" s="47">
        <v>373</v>
      </c>
      <c r="G974" s="47">
        <v>117122</v>
      </c>
      <c r="H974" s="47" t="s">
        <v>1027</v>
      </c>
      <c r="I974" s="50" t="s">
        <v>1028</v>
      </c>
      <c r="J974" s="48">
        <v>46048</v>
      </c>
      <c r="K974" s="47">
        <f t="shared" si="15"/>
        <v>9</v>
      </c>
    </row>
    <row r="975" spans="1:11" x14ac:dyDescent="0.25">
      <c r="A975" t="s">
        <v>983</v>
      </c>
      <c r="B975" s="48">
        <v>45956</v>
      </c>
      <c r="C975" t="s">
        <v>1011</v>
      </c>
      <c r="D975" t="s">
        <v>1023</v>
      </c>
      <c r="E975" s="47">
        <v>266</v>
      </c>
      <c r="F975" s="47">
        <v>1569</v>
      </c>
      <c r="G975" s="47">
        <v>417354</v>
      </c>
      <c r="H975" s="47" t="s">
        <v>1027</v>
      </c>
      <c r="I975" s="50" t="s">
        <v>1028</v>
      </c>
      <c r="J975" s="48">
        <v>45961</v>
      </c>
      <c r="K975" s="47">
        <f t="shared" si="15"/>
        <v>5</v>
      </c>
    </row>
    <row r="976" spans="1:11" x14ac:dyDescent="0.25">
      <c r="A976" t="s">
        <v>984</v>
      </c>
      <c r="B976" s="48">
        <v>45740</v>
      </c>
      <c r="C976" t="s">
        <v>1010</v>
      </c>
      <c r="D976" t="s">
        <v>1023</v>
      </c>
      <c r="E976" s="47">
        <v>138</v>
      </c>
      <c r="F976" s="47">
        <v>588</v>
      </c>
      <c r="G976" s="47">
        <v>81144</v>
      </c>
      <c r="H976" s="47" t="s">
        <v>1025</v>
      </c>
      <c r="I976" s="50" t="s">
        <v>1028</v>
      </c>
      <c r="J976" s="48">
        <v>45747</v>
      </c>
      <c r="K976" s="47">
        <f t="shared" si="15"/>
        <v>7</v>
      </c>
    </row>
    <row r="977" spans="1:11" x14ac:dyDescent="0.25">
      <c r="A977" t="s">
        <v>985</v>
      </c>
      <c r="B977" s="48">
        <v>45994</v>
      </c>
      <c r="C977" t="s">
        <v>1013</v>
      </c>
      <c r="D977" t="s">
        <v>1017</v>
      </c>
      <c r="E977" s="47">
        <v>285</v>
      </c>
      <c r="F977" s="47">
        <v>1435</v>
      </c>
      <c r="G977" s="47">
        <v>408975</v>
      </c>
      <c r="H977" s="47" t="s">
        <v>1027</v>
      </c>
      <c r="I977" s="50" t="s">
        <v>1026</v>
      </c>
      <c r="J977" s="48" t="s">
        <v>1031</v>
      </c>
      <c r="K977" s="47" t="str">
        <f t="shared" si="15"/>
        <v/>
      </c>
    </row>
    <row r="978" spans="1:11" x14ac:dyDescent="0.25">
      <c r="A978" t="s">
        <v>986</v>
      </c>
      <c r="B978" s="48">
        <v>45762</v>
      </c>
      <c r="C978" t="s">
        <v>1014</v>
      </c>
      <c r="D978" t="s">
        <v>1016</v>
      </c>
      <c r="E978" s="47">
        <v>229</v>
      </c>
      <c r="F978" s="47">
        <v>1575</v>
      </c>
      <c r="G978" s="47">
        <v>360675</v>
      </c>
      <c r="H978" s="47" t="s">
        <v>1030</v>
      </c>
      <c r="I978" s="50" t="s">
        <v>1026</v>
      </c>
      <c r="J978" s="48" t="s">
        <v>1031</v>
      </c>
      <c r="K978" s="47" t="str">
        <f t="shared" si="15"/>
        <v/>
      </c>
    </row>
    <row r="979" spans="1:11" x14ac:dyDescent="0.25">
      <c r="A979" t="s">
        <v>987</v>
      </c>
      <c r="B979" s="48">
        <v>46045</v>
      </c>
      <c r="C979" t="s">
        <v>1011</v>
      </c>
      <c r="D979" t="s">
        <v>1015</v>
      </c>
      <c r="E979" s="47">
        <v>286</v>
      </c>
      <c r="F979" s="47">
        <v>444</v>
      </c>
      <c r="G979" s="47">
        <v>126984</v>
      </c>
      <c r="H979" s="47" t="s">
        <v>1025</v>
      </c>
      <c r="I979" s="50" t="s">
        <v>1028</v>
      </c>
      <c r="J979" s="48">
        <v>46057</v>
      </c>
      <c r="K979" s="47">
        <f t="shared" si="15"/>
        <v>12</v>
      </c>
    </row>
    <row r="980" spans="1:11" x14ac:dyDescent="0.25">
      <c r="A980" t="s">
        <v>988</v>
      </c>
      <c r="B980" s="48">
        <v>45685</v>
      </c>
      <c r="C980" t="s">
        <v>1011</v>
      </c>
      <c r="D980" t="s">
        <v>1022</v>
      </c>
      <c r="E980" s="47">
        <v>284</v>
      </c>
      <c r="F980" s="47">
        <v>209</v>
      </c>
      <c r="G980" s="47">
        <v>59356</v>
      </c>
      <c r="H980" s="47" t="s">
        <v>1030</v>
      </c>
      <c r="I980" s="50" t="s">
        <v>1026</v>
      </c>
      <c r="J980" s="48" t="s">
        <v>1031</v>
      </c>
      <c r="K980" s="47" t="str">
        <f t="shared" si="15"/>
        <v/>
      </c>
    </row>
    <row r="981" spans="1:11" x14ac:dyDescent="0.25">
      <c r="A981" t="s">
        <v>989</v>
      </c>
      <c r="B981" s="48">
        <v>45996</v>
      </c>
      <c r="C981" t="s">
        <v>1010</v>
      </c>
      <c r="D981" t="s">
        <v>1017</v>
      </c>
      <c r="E981" s="47">
        <v>277</v>
      </c>
      <c r="F981" s="47">
        <v>1113</v>
      </c>
      <c r="G981" s="47">
        <v>308301</v>
      </c>
      <c r="H981" s="47" t="s">
        <v>1025</v>
      </c>
      <c r="I981" s="50" t="s">
        <v>1026</v>
      </c>
      <c r="J981" s="48" t="s">
        <v>1031</v>
      </c>
      <c r="K981" s="47" t="str">
        <f t="shared" si="15"/>
        <v/>
      </c>
    </row>
    <row r="982" spans="1:11" x14ac:dyDescent="0.25">
      <c r="A982" t="s">
        <v>990</v>
      </c>
      <c r="B982" s="48">
        <v>45785</v>
      </c>
      <c r="C982" t="s">
        <v>1014</v>
      </c>
      <c r="D982" t="s">
        <v>1022</v>
      </c>
      <c r="E982" s="47">
        <v>284</v>
      </c>
      <c r="F982" s="47">
        <v>1726</v>
      </c>
      <c r="G982" s="47">
        <v>490184</v>
      </c>
      <c r="H982" s="47" t="s">
        <v>1025</v>
      </c>
      <c r="I982" s="50" t="s">
        <v>1029</v>
      </c>
      <c r="J982" s="48" t="s">
        <v>1031</v>
      </c>
      <c r="K982" s="47" t="str">
        <f t="shared" si="15"/>
        <v/>
      </c>
    </row>
    <row r="983" spans="1:11" x14ac:dyDescent="0.25">
      <c r="A983" t="s">
        <v>991</v>
      </c>
      <c r="B983" s="48">
        <v>45833</v>
      </c>
      <c r="C983" t="s">
        <v>1014</v>
      </c>
      <c r="D983" t="s">
        <v>1024</v>
      </c>
      <c r="E983" s="47">
        <v>293</v>
      </c>
      <c r="F983" s="47">
        <v>1757</v>
      </c>
      <c r="G983" s="47">
        <v>514801</v>
      </c>
      <c r="H983" s="47" t="s">
        <v>1027</v>
      </c>
      <c r="I983" s="50" t="s">
        <v>1029</v>
      </c>
      <c r="J983" s="48" t="s">
        <v>1031</v>
      </c>
      <c r="K983" s="47" t="str">
        <f t="shared" si="15"/>
        <v/>
      </c>
    </row>
    <row r="984" spans="1:11" x14ac:dyDescent="0.25">
      <c r="A984" t="s">
        <v>992</v>
      </c>
      <c r="B984" s="48">
        <v>45945</v>
      </c>
      <c r="C984" t="s">
        <v>1010</v>
      </c>
      <c r="D984" t="s">
        <v>1021</v>
      </c>
      <c r="E984" s="47">
        <v>5</v>
      </c>
      <c r="F984" s="47">
        <v>1631</v>
      </c>
      <c r="G984" s="47">
        <v>8155</v>
      </c>
      <c r="H984" s="47" t="s">
        <v>1027</v>
      </c>
      <c r="I984" s="50" t="s">
        <v>1026</v>
      </c>
      <c r="J984" s="48" t="s">
        <v>1031</v>
      </c>
      <c r="K984" s="47" t="str">
        <f t="shared" si="15"/>
        <v/>
      </c>
    </row>
    <row r="985" spans="1:11" x14ac:dyDescent="0.25">
      <c r="A985" t="s">
        <v>993</v>
      </c>
      <c r="B985" s="48">
        <v>45970</v>
      </c>
      <c r="C985" t="s">
        <v>1011</v>
      </c>
      <c r="D985" t="s">
        <v>1019</v>
      </c>
      <c r="E985" s="47">
        <v>368</v>
      </c>
      <c r="F985" s="47">
        <v>139</v>
      </c>
      <c r="G985" s="47">
        <v>51152</v>
      </c>
      <c r="H985" s="47" t="s">
        <v>1030</v>
      </c>
      <c r="I985" s="50" t="s">
        <v>1026</v>
      </c>
      <c r="J985" s="48" t="s">
        <v>1031</v>
      </c>
      <c r="K985" s="47" t="str">
        <f t="shared" si="15"/>
        <v/>
      </c>
    </row>
    <row r="986" spans="1:11" x14ac:dyDescent="0.25">
      <c r="A986" t="s">
        <v>994</v>
      </c>
      <c r="B986" s="48">
        <v>45967</v>
      </c>
      <c r="C986" t="s">
        <v>1014</v>
      </c>
      <c r="D986" t="s">
        <v>1020</v>
      </c>
      <c r="E986" s="47">
        <v>48</v>
      </c>
      <c r="F986" s="47">
        <v>1034</v>
      </c>
      <c r="G986" s="47">
        <v>49632</v>
      </c>
      <c r="H986" s="47" t="s">
        <v>1030</v>
      </c>
      <c r="I986" s="50" t="s">
        <v>1028</v>
      </c>
      <c r="J986" s="48">
        <v>45973</v>
      </c>
      <c r="K986" s="47">
        <f t="shared" si="15"/>
        <v>6</v>
      </c>
    </row>
    <row r="987" spans="1:11" x14ac:dyDescent="0.25">
      <c r="A987" t="s">
        <v>995</v>
      </c>
      <c r="B987" s="48">
        <v>46024</v>
      </c>
      <c r="C987" t="s">
        <v>1014</v>
      </c>
      <c r="D987" t="s">
        <v>1017</v>
      </c>
      <c r="E987" s="47">
        <v>242</v>
      </c>
      <c r="F987" s="47">
        <v>1240</v>
      </c>
      <c r="G987" s="47">
        <v>300080</v>
      </c>
      <c r="H987" s="47" t="s">
        <v>1030</v>
      </c>
      <c r="I987" s="50" t="s">
        <v>1029</v>
      </c>
      <c r="J987" s="48" t="s">
        <v>1031</v>
      </c>
      <c r="K987" s="47" t="str">
        <f t="shared" si="15"/>
        <v/>
      </c>
    </row>
    <row r="988" spans="1:11" x14ac:dyDescent="0.25">
      <c r="A988" t="s">
        <v>996</v>
      </c>
      <c r="B988" s="48">
        <v>45951</v>
      </c>
      <c r="C988" t="s">
        <v>1011</v>
      </c>
      <c r="D988" t="s">
        <v>1016</v>
      </c>
      <c r="E988" s="47">
        <v>165</v>
      </c>
      <c r="F988" s="47">
        <v>648</v>
      </c>
      <c r="G988" s="47">
        <v>106920</v>
      </c>
      <c r="H988" s="47" t="s">
        <v>1030</v>
      </c>
      <c r="I988" s="50" t="s">
        <v>1026</v>
      </c>
      <c r="J988" s="48" t="s">
        <v>1031</v>
      </c>
      <c r="K988" s="47" t="str">
        <f t="shared" si="15"/>
        <v/>
      </c>
    </row>
    <row r="989" spans="1:11" x14ac:dyDescent="0.25">
      <c r="A989" t="s">
        <v>997</v>
      </c>
      <c r="B989" s="48">
        <v>45871</v>
      </c>
      <c r="C989" t="s">
        <v>1012</v>
      </c>
      <c r="D989" t="s">
        <v>1015</v>
      </c>
      <c r="E989" s="47">
        <v>107</v>
      </c>
      <c r="F989" s="47">
        <v>152</v>
      </c>
      <c r="G989" s="47">
        <v>16264</v>
      </c>
      <c r="H989" s="47" t="s">
        <v>1027</v>
      </c>
      <c r="I989" s="50" t="s">
        <v>1028</v>
      </c>
      <c r="J989" s="48">
        <v>45879</v>
      </c>
      <c r="K989" s="47">
        <f t="shared" si="15"/>
        <v>8</v>
      </c>
    </row>
    <row r="990" spans="1:11" x14ac:dyDescent="0.25">
      <c r="A990" t="s">
        <v>998</v>
      </c>
      <c r="B990" s="48">
        <v>45686</v>
      </c>
      <c r="C990" t="s">
        <v>1012</v>
      </c>
      <c r="D990" t="s">
        <v>1015</v>
      </c>
      <c r="E990" s="47">
        <v>308</v>
      </c>
      <c r="F990" s="47">
        <v>779</v>
      </c>
      <c r="G990" s="47">
        <v>239932</v>
      </c>
      <c r="H990" s="47" t="s">
        <v>1030</v>
      </c>
      <c r="I990" s="50" t="s">
        <v>1026</v>
      </c>
      <c r="J990" s="48" t="s">
        <v>1031</v>
      </c>
      <c r="K990" s="47" t="str">
        <f t="shared" si="15"/>
        <v/>
      </c>
    </row>
    <row r="991" spans="1:11" x14ac:dyDescent="0.25">
      <c r="A991" t="s">
        <v>999</v>
      </c>
      <c r="B991" s="48">
        <v>45729</v>
      </c>
      <c r="C991" t="s">
        <v>1010</v>
      </c>
      <c r="D991" t="s">
        <v>1018</v>
      </c>
      <c r="E991" s="47">
        <v>290</v>
      </c>
      <c r="F991" s="47">
        <v>631</v>
      </c>
      <c r="G991" s="47">
        <v>182990</v>
      </c>
      <c r="H991" s="47" t="s">
        <v>1030</v>
      </c>
      <c r="I991" s="50" t="s">
        <v>1028</v>
      </c>
      <c r="J991" s="48">
        <v>45734</v>
      </c>
      <c r="K991" s="47">
        <f t="shared" si="15"/>
        <v>5</v>
      </c>
    </row>
    <row r="992" spans="1:11" x14ac:dyDescent="0.25">
      <c r="A992" t="s">
        <v>1000</v>
      </c>
      <c r="B992" s="48">
        <v>45732</v>
      </c>
      <c r="C992" t="s">
        <v>1010</v>
      </c>
      <c r="D992" t="s">
        <v>1017</v>
      </c>
      <c r="E992" s="47">
        <v>191</v>
      </c>
      <c r="F992" s="47">
        <v>1096</v>
      </c>
      <c r="G992" s="47">
        <v>209336</v>
      </c>
      <c r="H992" s="47" t="s">
        <v>1027</v>
      </c>
      <c r="I992" s="50" t="s">
        <v>1028</v>
      </c>
      <c r="J992" s="48">
        <v>45746</v>
      </c>
      <c r="K992" s="47">
        <f t="shared" si="15"/>
        <v>14</v>
      </c>
    </row>
    <row r="993" spans="1:11" x14ac:dyDescent="0.25">
      <c r="A993" t="s">
        <v>1001</v>
      </c>
      <c r="B993" s="48">
        <v>45896</v>
      </c>
      <c r="C993" t="s">
        <v>1010</v>
      </c>
      <c r="D993" t="s">
        <v>1023</v>
      </c>
      <c r="E993" s="47">
        <v>464</v>
      </c>
      <c r="F993" s="47">
        <v>1820</v>
      </c>
      <c r="G993" s="47">
        <v>844480</v>
      </c>
      <c r="H993" s="47" t="s">
        <v>1025</v>
      </c>
      <c r="I993" s="50" t="s">
        <v>1028</v>
      </c>
      <c r="J993" s="48">
        <v>45903</v>
      </c>
      <c r="K993" s="47">
        <f t="shared" si="15"/>
        <v>7</v>
      </c>
    </row>
    <row r="994" spans="1:11" x14ac:dyDescent="0.25">
      <c r="A994" t="s">
        <v>1002</v>
      </c>
      <c r="B994" s="48">
        <v>45915</v>
      </c>
      <c r="C994" t="s">
        <v>1014</v>
      </c>
      <c r="D994" t="s">
        <v>1017</v>
      </c>
      <c r="E994" s="47">
        <v>396</v>
      </c>
      <c r="F994" s="47">
        <v>1409</v>
      </c>
      <c r="G994" s="47">
        <v>557964</v>
      </c>
      <c r="H994" s="47" t="s">
        <v>1027</v>
      </c>
      <c r="I994" s="50" t="s">
        <v>1028</v>
      </c>
      <c r="J994" s="48">
        <v>45929</v>
      </c>
      <c r="K994" s="47">
        <f t="shared" si="15"/>
        <v>14</v>
      </c>
    </row>
    <row r="995" spans="1:11" x14ac:dyDescent="0.25">
      <c r="A995" t="s">
        <v>1003</v>
      </c>
      <c r="B995" s="48">
        <v>45838</v>
      </c>
      <c r="C995" t="s">
        <v>1013</v>
      </c>
      <c r="D995" t="s">
        <v>1015</v>
      </c>
      <c r="E995" s="47">
        <v>426</v>
      </c>
      <c r="F995" s="47">
        <v>1064</v>
      </c>
      <c r="G995" s="47">
        <v>453264</v>
      </c>
      <c r="H995" s="47" t="s">
        <v>1030</v>
      </c>
      <c r="I995" s="50" t="s">
        <v>1026</v>
      </c>
      <c r="J995" s="48" t="s">
        <v>1031</v>
      </c>
      <c r="K995" s="47" t="str">
        <f t="shared" si="15"/>
        <v/>
      </c>
    </row>
    <row r="996" spans="1:11" x14ac:dyDescent="0.25">
      <c r="A996" t="s">
        <v>1004</v>
      </c>
      <c r="B996" s="48">
        <v>45674</v>
      </c>
      <c r="C996" t="s">
        <v>1011</v>
      </c>
      <c r="D996" t="s">
        <v>1016</v>
      </c>
      <c r="E996" s="47">
        <v>225</v>
      </c>
      <c r="F996" s="47">
        <v>376</v>
      </c>
      <c r="G996" s="47">
        <v>84600</v>
      </c>
      <c r="H996" s="47" t="s">
        <v>1030</v>
      </c>
      <c r="I996" s="50" t="s">
        <v>1029</v>
      </c>
      <c r="J996" s="48" t="s">
        <v>1031</v>
      </c>
      <c r="K996" s="47" t="str">
        <f t="shared" si="15"/>
        <v/>
      </c>
    </row>
    <row r="997" spans="1:11" x14ac:dyDescent="0.25">
      <c r="A997" t="s">
        <v>1005</v>
      </c>
      <c r="B997" s="48">
        <v>45776</v>
      </c>
      <c r="C997" t="s">
        <v>1013</v>
      </c>
      <c r="D997" t="s">
        <v>1024</v>
      </c>
      <c r="E997" s="47">
        <v>296</v>
      </c>
      <c r="F997" s="47">
        <v>263</v>
      </c>
      <c r="G997" s="47">
        <v>77848</v>
      </c>
      <c r="H997" s="47" t="s">
        <v>1030</v>
      </c>
      <c r="I997" s="50" t="s">
        <v>1026</v>
      </c>
      <c r="J997" s="48" t="s">
        <v>1031</v>
      </c>
      <c r="K997" s="47" t="str">
        <f t="shared" si="15"/>
        <v/>
      </c>
    </row>
    <row r="998" spans="1:11" x14ac:dyDescent="0.25">
      <c r="A998" t="s">
        <v>1006</v>
      </c>
      <c r="B998" s="48">
        <v>45941</v>
      </c>
      <c r="C998" t="s">
        <v>1010</v>
      </c>
      <c r="D998" t="s">
        <v>1024</v>
      </c>
      <c r="E998" s="47">
        <v>16</v>
      </c>
      <c r="F998" s="47">
        <v>802</v>
      </c>
      <c r="G998" s="47">
        <v>12832</v>
      </c>
      <c r="H998" s="47" t="s">
        <v>1025</v>
      </c>
      <c r="I998" s="50" t="s">
        <v>1029</v>
      </c>
      <c r="J998" s="48" t="s">
        <v>1031</v>
      </c>
      <c r="K998" s="47" t="str">
        <f t="shared" si="15"/>
        <v/>
      </c>
    </row>
    <row r="999" spans="1:11" x14ac:dyDescent="0.25">
      <c r="A999" t="s">
        <v>1007</v>
      </c>
      <c r="B999" s="48">
        <v>45700</v>
      </c>
      <c r="C999" t="s">
        <v>1012</v>
      </c>
      <c r="D999" t="s">
        <v>1021</v>
      </c>
      <c r="E999" s="47">
        <v>445</v>
      </c>
      <c r="F999" s="47">
        <v>1795</v>
      </c>
      <c r="G999" s="47">
        <v>798775</v>
      </c>
      <c r="H999" s="47" t="s">
        <v>1030</v>
      </c>
      <c r="I999" s="50" t="s">
        <v>1029</v>
      </c>
      <c r="J999" s="48" t="s">
        <v>1031</v>
      </c>
      <c r="K999" s="47" t="str">
        <f t="shared" si="15"/>
        <v/>
      </c>
    </row>
    <row r="1000" spans="1:11" x14ac:dyDescent="0.25">
      <c r="A1000" t="s">
        <v>1008</v>
      </c>
      <c r="B1000" s="48">
        <v>45935</v>
      </c>
      <c r="C1000" t="s">
        <v>1010</v>
      </c>
      <c r="D1000" t="s">
        <v>1020</v>
      </c>
      <c r="E1000" s="47">
        <v>394</v>
      </c>
      <c r="F1000" s="47">
        <v>1799</v>
      </c>
      <c r="G1000" s="47">
        <v>708806</v>
      </c>
      <c r="H1000" s="47" t="s">
        <v>1025</v>
      </c>
      <c r="I1000" s="50" t="s">
        <v>1028</v>
      </c>
      <c r="J1000" s="48">
        <v>45946</v>
      </c>
      <c r="K1000" s="47">
        <f t="shared" si="15"/>
        <v>11</v>
      </c>
    </row>
    <row r="1001" spans="1:11" x14ac:dyDescent="0.25">
      <c r="A1001" t="s">
        <v>1009</v>
      </c>
      <c r="B1001" s="48">
        <v>45785</v>
      </c>
      <c r="C1001" t="s">
        <v>1014</v>
      </c>
      <c r="D1001" t="s">
        <v>1022</v>
      </c>
      <c r="E1001" s="47">
        <v>86</v>
      </c>
      <c r="F1001" s="47">
        <v>918</v>
      </c>
      <c r="G1001" s="47">
        <v>78948</v>
      </c>
      <c r="H1001" s="47" t="s">
        <v>1027</v>
      </c>
      <c r="I1001" s="50" t="s">
        <v>1029</v>
      </c>
      <c r="J1001" s="48" t="s">
        <v>1031</v>
      </c>
      <c r="K1001" s="47" t="str">
        <f t="shared" si="15"/>
        <v/>
      </c>
    </row>
  </sheetData>
  <pageMargins left="0.7" right="0.7" top="0.75" bottom="0.75" header="0.3" footer="0.3"/>
  <pageSetup paperSize="0" orientation="portrait" horizontalDpi="0" verticalDpi="0" copie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992B7-3C85-4A6C-B05D-BFB3EE3AE66C}">
  <dimension ref="A1:J1001"/>
  <sheetViews>
    <sheetView zoomScale="115" zoomScaleNormal="115" workbookViewId="0">
      <selection activeCell="B3" sqref="B3"/>
    </sheetView>
  </sheetViews>
  <sheetFormatPr defaultRowHeight="15" x14ac:dyDescent="0.25"/>
  <cols>
    <col min="1" max="1" width="10.140625" bestFit="1" customWidth="1"/>
    <col min="2" max="2" width="11.28515625" style="3" bestFit="1" customWidth="1"/>
    <col min="3" max="3" width="15.28515625" bestFit="1" customWidth="1"/>
    <col min="4" max="4" width="21.42578125" bestFit="1" customWidth="1"/>
    <col min="5" max="5" width="8.42578125" bestFit="1" customWidth="1"/>
    <col min="6" max="6" width="8.85546875" bestFit="1" customWidth="1"/>
    <col min="7" max="7" width="9.7109375" bestFit="1" customWidth="1"/>
    <col min="8" max="8" width="15.85546875" bestFit="1" customWidth="1"/>
    <col min="9" max="9" width="14.7109375" bestFit="1" customWidth="1"/>
    <col min="10" max="10" width="12.28515625" style="3" bestFit="1" customWidth="1"/>
  </cols>
  <sheetData>
    <row r="1" spans="1:10" x14ac:dyDescent="0.25">
      <c r="A1" s="1" t="s">
        <v>0</v>
      </c>
      <c r="B1" s="2" t="s">
        <v>1</v>
      </c>
      <c r="C1" s="1" t="s">
        <v>2</v>
      </c>
      <c r="D1" s="1" t="s">
        <v>3</v>
      </c>
      <c r="E1" s="1" t="s">
        <v>4</v>
      </c>
      <c r="F1" s="1" t="s">
        <v>5</v>
      </c>
      <c r="G1" s="1" t="s">
        <v>6</v>
      </c>
      <c r="H1" s="1" t="s">
        <v>7</v>
      </c>
      <c r="I1" s="1" t="s">
        <v>8</v>
      </c>
      <c r="J1" s="2" t="s">
        <v>9</v>
      </c>
    </row>
    <row r="2" spans="1:10" x14ac:dyDescent="0.25">
      <c r="A2" s="52" t="s">
        <v>10</v>
      </c>
      <c r="B2" s="53">
        <v>45808</v>
      </c>
      <c r="C2" s="52" t="s">
        <v>1011</v>
      </c>
      <c r="D2" s="52" t="s">
        <v>1024</v>
      </c>
      <c r="E2" s="52">
        <v>216</v>
      </c>
      <c r="F2" s="52">
        <v>964</v>
      </c>
      <c r="G2" s="52">
        <v>208224</v>
      </c>
      <c r="H2" s="52" t="s">
        <v>1025</v>
      </c>
      <c r="I2" s="52" t="s">
        <v>1026</v>
      </c>
      <c r="J2" s="53" t="s">
        <v>1031</v>
      </c>
    </row>
    <row r="3" spans="1:10" x14ac:dyDescent="0.25">
      <c r="A3" s="52" t="s">
        <v>11</v>
      </c>
      <c r="B3" s="53">
        <v>46003</v>
      </c>
      <c r="C3" s="52" t="s">
        <v>1014</v>
      </c>
      <c r="D3" s="52" t="s">
        <v>1017</v>
      </c>
      <c r="E3" s="52">
        <v>15</v>
      </c>
      <c r="F3" s="52">
        <v>1288</v>
      </c>
      <c r="G3" s="52">
        <v>19320</v>
      </c>
      <c r="H3" s="52" t="s">
        <v>1027</v>
      </c>
      <c r="I3" s="52" t="s">
        <v>1026</v>
      </c>
      <c r="J3" s="53" t="s">
        <v>1031</v>
      </c>
    </row>
    <row r="4" spans="1:10" x14ac:dyDescent="0.25">
      <c r="A4" s="52" t="s">
        <v>12</v>
      </c>
      <c r="B4" s="53">
        <v>45751</v>
      </c>
      <c r="C4" s="52" t="s">
        <v>1010</v>
      </c>
      <c r="D4" s="52" t="s">
        <v>1020</v>
      </c>
      <c r="E4" s="52">
        <v>161</v>
      </c>
      <c r="F4" s="52">
        <v>1277</v>
      </c>
      <c r="G4" s="52">
        <v>205597</v>
      </c>
      <c r="H4" s="52" t="s">
        <v>1027</v>
      </c>
      <c r="I4" s="52" t="s">
        <v>1028</v>
      </c>
      <c r="J4" s="53">
        <v>45758</v>
      </c>
    </row>
    <row r="5" spans="1:10" x14ac:dyDescent="0.25">
      <c r="A5" s="52" t="s">
        <v>13</v>
      </c>
      <c r="B5" s="53">
        <v>45671</v>
      </c>
      <c r="C5" s="52" t="s">
        <v>1014</v>
      </c>
      <c r="D5" s="52" t="s">
        <v>1018</v>
      </c>
      <c r="E5" s="52">
        <v>114</v>
      </c>
      <c r="F5" s="52">
        <v>1720</v>
      </c>
      <c r="G5" s="52">
        <v>196080</v>
      </c>
      <c r="H5" s="52" t="s">
        <v>1027</v>
      </c>
      <c r="I5" s="52" t="s">
        <v>1026</v>
      </c>
      <c r="J5" s="53" t="s">
        <v>1031</v>
      </c>
    </row>
    <row r="6" spans="1:10" x14ac:dyDescent="0.25">
      <c r="A6" s="52" t="s">
        <v>14</v>
      </c>
      <c r="B6" s="53">
        <v>45797</v>
      </c>
      <c r="C6" s="52" t="s">
        <v>1010</v>
      </c>
      <c r="D6" s="52" t="s">
        <v>1022</v>
      </c>
      <c r="E6" s="52">
        <v>169</v>
      </c>
      <c r="F6" s="52">
        <v>1902</v>
      </c>
      <c r="G6" s="52">
        <v>321438</v>
      </c>
      <c r="H6" s="52" t="s">
        <v>1027</v>
      </c>
      <c r="I6" s="52" t="s">
        <v>1026</v>
      </c>
      <c r="J6" s="53" t="s">
        <v>1031</v>
      </c>
    </row>
    <row r="7" spans="1:10" x14ac:dyDescent="0.25">
      <c r="A7" s="52" t="s">
        <v>15</v>
      </c>
      <c r="B7" s="53">
        <v>45686</v>
      </c>
      <c r="C7" s="52" t="s">
        <v>1014</v>
      </c>
      <c r="D7" s="52" t="s">
        <v>1021</v>
      </c>
      <c r="E7" s="52">
        <v>486</v>
      </c>
      <c r="F7" s="52">
        <v>625</v>
      </c>
      <c r="G7" s="52">
        <v>303750</v>
      </c>
      <c r="H7" s="52" t="s">
        <v>1027</v>
      </c>
      <c r="I7" s="52" t="s">
        <v>1029</v>
      </c>
      <c r="J7" s="53" t="s">
        <v>1031</v>
      </c>
    </row>
    <row r="8" spans="1:10" x14ac:dyDescent="0.25">
      <c r="A8" s="52" t="s">
        <v>16</v>
      </c>
      <c r="B8" s="53">
        <v>45768</v>
      </c>
      <c r="C8" s="52" t="s">
        <v>1012</v>
      </c>
      <c r="D8" s="52" t="s">
        <v>1024</v>
      </c>
      <c r="E8" s="52">
        <v>57</v>
      </c>
      <c r="F8" s="52">
        <v>194</v>
      </c>
      <c r="G8" s="52">
        <v>11058</v>
      </c>
      <c r="H8" s="52" t="s">
        <v>1027</v>
      </c>
      <c r="I8" s="52" t="s">
        <v>1026</v>
      </c>
      <c r="J8" s="53" t="s">
        <v>1031</v>
      </c>
    </row>
    <row r="9" spans="1:10" x14ac:dyDescent="0.25">
      <c r="A9" s="52" t="s">
        <v>17</v>
      </c>
      <c r="B9" s="53">
        <v>45787</v>
      </c>
      <c r="C9" s="52" t="s">
        <v>1010</v>
      </c>
      <c r="D9" s="52" t="s">
        <v>1024</v>
      </c>
      <c r="E9" s="52">
        <v>483</v>
      </c>
      <c r="F9" s="52">
        <v>336</v>
      </c>
      <c r="G9" s="52">
        <v>162288</v>
      </c>
      <c r="H9" s="52" t="s">
        <v>1025</v>
      </c>
      <c r="I9" s="52" t="s">
        <v>1029</v>
      </c>
      <c r="J9" s="53" t="s">
        <v>1031</v>
      </c>
    </row>
    <row r="10" spans="1:10" x14ac:dyDescent="0.25">
      <c r="A10" s="52" t="s">
        <v>18</v>
      </c>
      <c r="B10" s="53">
        <v>45911</v>
      </c>
      <c r="C10" s="52" t="s">
        <v>1013</v>
      </c>
      <c r="D10" s="52" t="s">
        <v>1024</v>
      </c>
      <c r="E10" s="52">
        <v>402</v>
      </c>
      <c r="F10" s="52">
        <v>955</v>
      </c>
      <c r="G10" s="52">
        <v>383910</v>
      </c>
      <c r="H10" s="52" t="s">
        <v>1030</v>
      </c>
      <c r="I10" s="52" t="s">
        <v>1028</v>
      </c>
      <c r="J10" s="53">
        <v>45921</v>
      </c>
    </row>
    <row r="11" spans="1:10" x14ac:dyDescent="0.25">
      <c r="A11" s="52" t="s">
        <v>19</v>
      </c>
      <c r="B11" s="53">
        <v>45658</v>
      </c>
      <c r="C11" s="52" t="s">
        <v>1014</v>
      </c>
      <c r="D11" s="52" t="s">
        <v>1018</v>
      </c>
      <c r="E11" s="52">
        <v>267</v>
      </c>
      <c r="F11" s="52">
        <v>786</v>
      </c>
      <c r="G11" s="52">
        <v>209862</v>
      </c>
      <c r="H11" s="52" t="s">
        <v>1030</v>
      </c>
      <c r="I11" s="52" t="s">
        <v>1026</v>
      </c>
      <c r="J11" s="53" t="s">
        <v>1031</v>
      </c>
    </row>
    <row r="12" spans="1:10" x14ac:dyDescent="0.25">
      <c r="A12" s="52" t="s">
        <v>20</v>
      </c>
      <c r="B12" s="53">
        <v>45658</v>
      </c>
      <c r="C12" s="52" t="s">
        <v>1013</v>
      </c>
      <c r="D12" s="52" t="s">
        <v>1019</v>
      </c>
      <c r="E12" s="52">
        <v>228</v>
      </c>
      <c r="F12" s="52">
        <v>1714</v>
      </c>
      <c r="G12" s="52">
        <v>390792</v>
      </c>
      <c r="H12" s="52" t="s">
        <v>1027</v>
      </c>
      <c r="I12" s="52" t="s">
        <v>1026</v>
      </c>
      <c r="J12" s="53" t="s">
        <v>1031</v>
      </c>
    </row>
    <row r="13" spans="1:10" x14ac:dyDescent="0.25">
      <c r="A13" s="52" t="s">
        <v>21</v>
      </c>
      <c r="B13" s="53">
        <v>45879</v>
      </c>
      <c r="C13" s="52" t="s">
        <v>1011</v>
      </c>
      <c r="D13" s="52" t="s">
        <v>1021</v>
      </c>
      <c r="E13" s="52">
        <v>484</v>
      </c>
      <c r="F13" s="52">
        <v>881</v>
      </c>
      <c r="G13" s="52">
        <v>426404</v>
      </c>
      <c r="H13" s="52" t="s">
        <v>1030</v>
      </c>
      <c r="I13" s="52" t="s">
        <v>1028</v>
      </c>
      <c r="J13" s="53">
        <v>45887</v>
      </c>
    </row>
    <row r="14" spans="1:10" x14ac:dyDescent="0.25">
      <c r="A14" s="52" t="s">
        <v>22</v>
      </c>
      <c r="B14" s="53">
        <v>45670</v>
      </c>
      <c r="C14" s="52" t="s">
        <v>1012</v>
      </c>
      <c r="D14" s="52" t="s">
        <v>1021</v>
      </c>
      <c r="E14" s="52">
        <v>95</v>
      </c>
      <c r="F14" s="52">
        <v>893</v>
      </c>
      <c r="G14" s="52">
        <v>84835</v>
      </c>
      <c r="H14" s="52" t="s">
        <v>1025</v>
      </c>
      <c r="I14" s="52" t="s">
        <v>1026</v>
      </c>
      <c r="J14" s="53" t="s">
        <v>1031</v>
      </c>
    </row>
    <row r="15" spans="1:10" x14ac:dyDescent="0.25">
      <c r="A15" s="52" t="s">
        <v>23</v>
      </c>
      <c r="B15" s="53">
        <v>45725</v>
      </c>
      <c r="C15" s="52" t="s">
        <v>1012</v>
      </c>
      <c r="D15" s="52" t="s">
        <v>1023</v>
      </c>
      <c r="E15" s="52">
        <v>300</v>
      </c>
      <c r="F15" s="52">
        <v>1120</v>
      </c>
      <c r="G15" s="52">
        <v>336000</v>
      </c>
      <c r="H15" s="52" t="s">
        <v>1027</v>
      </c>
      <c r="I15" s="52" t="s">
        <v>1026</v>
      </c>
      <c r="J15" s="53" t="s">
        <v>1031</v>
      </c>
    </row>
    <row r="16" spans="1:10" x14ac:dyDescent="0.25">
      <c r="A16" s="52" t="s">
        <v>24</v>
      </c>
      <c r="B16" s="53">
        <v>45683</v>
      </c>
      <c r="C16" s="52" t="s">
        <v>1011</v>
      </c>
      <c r="D16" s="52" t="s">
        <v>1024</v>
      </c>
      <c r="E16" s="52">
        <v>454</v>
      </c>
      <c r="F16" s="52">
        <v>537</v>
      </c>
      <c r="G16" s="52">
        <v>243798</v>
      </c>
      <c r="H16" s="52" t="s">
        <v>1025</v>
      </c>
      <c r="I16" s="52" t="s">
        <v>1028</v>
      </c>
      <c r="J16" s="53">
        <v>45692</v>
      </c>
    </row>
    <row r="17" spans="1:10" x14ac:dyDescent="0.25">
      <c r="A17" s="52" t="s">
        <v>25</v>
      </c>
      <c r="B17" s="53">
        <v>46025</v>
      </c>
      <c r="C17" s="52" t="s">
        <v>1014</v>
      </c>
      <c r="D17" s="52" t="s">
        <v>1022</v>
      </c>
      <c r="E17" s="52">
        <v>184</v>
      </c>
      <c r="F17" s="52">
        <v>80</v>
      </c>
      <c r="G17" s="52">
        <v>14720</v>
      </c>
      <c r="H17" s="52" t="s">
        <v>1025</v>
      </c>
      <c r="I17" s="52" t="s">
        <v>1026</v>
      </c>
      <c r="J17" s="53" t="s">
        <v>1031</v>
      </c>
    </row>
    <row r="18" spans="1:10" x14ac:dyDescent="0.25">
      <c r="A18" s="52" t="s">
        <v>26</v>
      </c>
      <c r="B18" s="53">
        <v>45724</v>
      </c>
      <c r="C18" s="52" t="s">
        <v>1012</v>
      </c>
      <c r="D18" s="52" t="s">
        <v>1023</v>
      </c>
      <c r="E18" s="52">
        <v>381</v>
      </c>
      <c r="F18" s="52">
        <v>378</v>
      </c>
      <c r="G18" s="52">
        <v>144018</v>
      </c>
      <c r="H18" s="52" t="s">
        <v>1027</v>
      </c>
      <c r="I18" s="52" t="s">
        <v>1029</v>
      </c>
      <c r="J18" s="53" t="s">
        <v>1031</v>
      </c>
    </row>
    <row r="19" spans="1:10" x14ac:dyDescent="0.25">
      <c r="A19" s="52" t="s">
        <v>27</v>
      </c>
      <c r="B19" s="53">
        <v>46019</v>
      </c>
      <c r="C19" s="52" t="s">
        <v>1011</v>
      </c>
      <c r="D19" s="52" t="s">
        <v>1024</v>
      </c>
      <c r="E19" s="52">
        <v>308</v>
      </c>
      <c r="F19" s="52">
        <v>1240</v>
      </c>
      <c r="G19" s="52">
        <v>381920</v>
      </c>
      <c r="H19" s="52" t="s">
        <v>1025</v>
      </c>
      <c r="I19" s="52" t="s">
        <v>1026</v>
      </c>
      <c r="J19" s="53" t="s">
        <v>1031</v>
      </c>
    </row>
    <row r="20" spans="1:10" x14ac:dyDescent="0.25">
      <c r="A20" s="52" t="s">
        <v>28</v>
      </c>
      <c r="B20" s="53">
        <v>46015</v>
      </c>
      <c r="C20" s="52" t="s">
        <v>1011</v>
      </c>
      <c r="D20" s="52" t="s">
        <v>1016</v>
      </c>
      <c r="E20" s="52">
        <v>367</v>
      </c>
      <c r="F20" s="52">
        <v>403</v>
      </c>
      <c r="G20" s="52">
        <v>147901</v>
      </c>
      <c r="H20" s="52" t="s">
        <v>1025</v>
      </c>
      <c r="I20" s="52" t="s">
        <v>1028</v>
      </c>
      <c r="J20" s="53">
        <v>46026</v>
      </c>
    </row>
    <row r="21" spans="1:10" x14ac:dyDescent="0.25">
      <c r="A21" s="52" t="s">
        <v>29</v>
      </c>
      <c r="B21" s="53">
        <v>46003</v>
      </c>
      <c r="C21" s="52" t="s">
        <v>1014</v>
      </c>
      <c r="D21" s="52" t="s">
        <v>1024</v>
      </c>
      <c r="E21" s="52">
        <v>164</v>
      </c>
      <c r="F21" s="52">
        <v>785</v>
      </c>
      <c r="G21" s="52">
        <v>128740</v>
      </c>
      <c r="H21" s="52" t="s">
        <v>1027</v>
      </c>
      <c r="I21" s="52" t="s">
        <v>1028</v>
      </c>
      <c r="J21" s="53">
        <v>46009</v>
      </c>
    </row>
    <row r="22" spans="1:10" x14ac:dyDescent="0.25">
      <c r="A22" s="52" t="s">
        <v>30</v>
      </c>
      <c r="B22" s="53">
        <v>45883</v>
      </c>
      <c r="C22" s="52" t="s">
        <v>1014</v>
      </c>
      <c r="D22" s="52" t="s">
        <v>1024</v>
      </c>
      <c r="E22" s="52">
        <v>8</v>
      </c>
      <c r="F22" s="52">
        <v>1506</v>
      </c>
      <c r="G22" s="52">
        <v>12048</v>
      </c>
      <c r="H22" s="52" t="s">
        <v>1025</v>
      </c>
      <c r="I22" s="52" t="s">
        <v>1029</v>
      </c>
      <c r="J22" s="53" t="s">
        <v>1031</v>
      </c>
    </row>
    <row r="23" spans="1:10" x14ac:dyDescent="0.25">
      <c r="A23" s="52" t="s">
        <v>31</v>
      </c>
      <c r="B23" s="53">
        <v>45886</v>
      </c>
      <c r="C23" s="52" t="s">
        <v>1010</v>
      </c>
      <c r="D23" s="52" t="s">
        <v>1023</v>
      </c>
      <c r="E23" s="52">
        <v>356</v>
      </c>
      <c r="F23" s="52">
        <v>1890</v>
      </c>
      <c r="G23" s="52">
        <v>672840</v>
      </c>
      <c r="H23" s="52" t="s">
        <v>1027</v>
      </c>
      <c r="I23" s="52" t="s">
        <v>1026</v>
      </c>
      <c r="J23" s="53" t="s">
        <v>1031</v>
      </c>
    </row>
    <row r="24" spans="1:10" x14ac:dyDescent="0.25">
      <c r="A24" s="52" t="s">
        <v>32</v>
      </c>
      <c r="B24" s="53">
        <v>45776</v>
      </c>
      <c r="C24" s="52" t="s">
        <v>1012</v>
      </c>
      <c r="D24" s="52" t="s">
        <v>1017</v>
      </c>
      <c r="E24" s="52">
        <v>245</v>
      </c>
      <c r="F24" s="52">
        <v>1306</v>
      </c>
      <c r="G24" s="52">
        <v>319970</v>
      </c>
      <c r="H24" s="52" t="s">
        <v>1025</v>
      </c>
      <c r="I24" s="52" t="s">
        <v>1029</v>
      </c>
      <c r="J24" s="53" t="s">
        <v>1031</v>
      </c>
    </row>
    <row r="25" spans="1:10" x14ac:dyDescent="0.25">
      <c r="A25" s="52" t="s">
        <v>33</v>
      </c>
      <c r="B25" s="53">
        <v>45804</v>
      </c>
      <c r="C25" s="52" t="s">
        <v>1014</v>
      </c>
      <c r="D25" s="52" t="s">
        <v>1022</v>
      </c>
      <c r="E25" s="52">
        <v>150</v>
      </c>
      <c r="F25" s="52">
        <v>1010</v>
      </c>
      <c r="G25" s="52">
        <v>151500</v>
      </c>
      <c r="H25" s="52" t="s">
        <v>1027</v>
      </c>
      <c r="I25" s="52" t="s">
        <v>1028</v>
      </c>
      <c r="J25" s="53">
        <v>45814</v>
      </c>
    </row>
    <row r="26" spans="1:10" x14ac:dyDescent="0.25">
      <c r="A26" s="52" t="s">
        <v>34</v>
      </c>
      <c r="B26" s="53">
        <v>45665</v>
      </c>
      <c r="C26" s="52" t="s">
        <v>1011</v>
      </c>
      <c r="D26" s="52" t="s">
        <v>1020</v>
      </c>
      <c r="E26" s="52">
        <v>11</v>
      </c>
      <c r="F26" s="52">
        <v>236</v>
      </c>
      <c r="G26" s="52">
        <v>2596</v>
      </c>
      <c r="H26" s="52" t="s">
        <v>1030</v>
      </c>
      <c r="I26" s="52" t="s">
        <v>1026</v>
      </c>
      <c r="J26" s="53" t="s">
        <v>1031</v>
      </c>
    </row>
    <row r="27" spans="1:10" x14ac:dyDescent="0.25">
      <c r="A27" s="52" t="s">
        <v>35</v>
      </c>
      <c r="B27" s="53">
        <v>45937</v>
      </c>
      <c r="C27" s="52" t="s">
        <v>1011</v>
      </c>
      <c r="D27" s="52" t="s">
        <v>1017</v>
      </c>
      <c r="E27" s="52">
        <v>99</v>
      </c>
      <c r="F27" s="52">
        <v>1760</v>
      </c>
      <c r="G27" s="52">
        <v>174240</v>
      </c>
      <c r="H27" s="52" t="s">
        <v>1027</v>
      </c>
      <c r="I27" s="52" t="s">
        <v>1026</v>
      </c>
      <c r="J27" s="53" t="s">
        <v>1031</v>
      </c>
    </row>
    <row r="28" spans="1:10" x14ac:dyDescent="0.25">
      <c r="A28" s="52" t="s">
        <v>36</v>
      </c>
      <c r="B28" s="53">
        <v>45805</v>
      </c>
      <c r="C28" s="52" t="s">
        <v>1011</v>
      </c>
      <c r="D28" s="52" t="s">
        <v>1021</v>
      </c>
      <c r="E28" s="52">
        <v>407</v>
      </c>
      <c r="F28" s="52">
        <v>1567</v>
      </c>
      <c r="G28" s="52">
        <v>637769</v>
      </c>
      <c r="H28" s="52" t="s">
        <v>1027</v>
      </c>
      <c r="I28" s="52" t="s">
        <v>1029</v>
      </c>
      <c r="J28" s="53" t="s">
        <v>1031</v>
      </c>
    </row>
    <row r="29" spans="1:10" x14ac:dyDescent="0.25">
      <c r="A29" s="52" t="s">
        <v>37</v>
      </c>
      <c r="B29" s="53">
        <v>45731</v>
      </c>
      <c r="C29" s="52" t="s">
        <v>1010</v>
      </c>
      <c r="D29" s="52" t="s">
        <v>1024</v>
      </c>
      <c r="E29" s="52">
        <v>366</v>
      </c>
      <c r="F29" s="52">
        <v>380</v>
      </c>
      <c r="G29" s="52">
        <v>139080</v>
      </c>
      <c r="H29" s="52" t="s">
        <v>1030</v>
      </c>
      <c r="I29" s="52" t="s">
        <v>1028</v>
      </c>
      <c r="J29" s="53">
        <v>45740</v>
      </c>
    </row>
    <row r="30" spans="1:10" x14ac:dyDescent="0.25">
      <c r="A30" s="52" t="s">
        <v>38</v>
      </c>
      <c r="B30" s="53">
        <v>45986</v>
      </c>
      <c r="C30" s="52" t="s">
        <v>1014</v>
      </c>
      <c r="D30" s="52" t="s">
        <v>1016</v>
      </c>
      <c r="E30" s="52">
        <v>388</v>
      </c>
      <c r="F30" s="52">
        <v>1341</v>
      </c>
      <c r="G30" s="52">
        <v>520308</v>
      </c>
      <c r="H30" s="52" t="s">
        <v>1025</v>
      </c>
      <c r="I30" s="52" t="s">
        <v>1029</v>
      </c>
      <c r="J30" s="53" t="s">
        <v>1031</v>
      </c>
    </row>
    <row r="31" spans="1:10" x14ac:dyDescent="0.25">
      <c r="A31" s="52" t="s">
        <v>39</v>
      </c>
      <c r="B31" s="53">
        <v>45694</v>
      </c>
      <c r="C31" s="52" t="s">
        <v>1010</v>
      </c>
      <c r="D31" s="52" t="s">
        <v>1016</v>
      </c>
      <c r="E31" s="52">
        <v>350</v>
      </c>
      <c r="F31" s="52">
        <v>140</v>
      </c>
      <c r="G31" s="52">
        <v>49000</v>
      </c>
      <c r="H31" s="52" t="s">
        <v>1025</v>
      </c>
      <c r="I31" s="52" t="s">
        <v>1028</v>
      </c>
      <c r="J31" s="53">
        <v>45703</v>
      </c>
    </row>
    <row r="32" spans="1:10" x14ac:dyDescent="0.25">
      <c r="A32" s="52" t="s">
        <v>40</v>
      </c>
      <c r="B32" s="53">
        <v>45965</v>
      </c>
      <c r="C32" s="52" t="s">
        <v>1011</v>
      </c>
      <c r="D32" s="52" t="s">
        <v>1015</v>
      </c>
      <c r="E32" s="52">
        <v>18</v>
      </c>
      <c r="F32" s="52">
        <v>1387</v>
      </c>
      <c r="G32" s="52">
        <v>24966</v>
      </c>
      <c r="H32" s="52" t="s">
        <v>1030</v>
      </c>
      <c r="I32" s="52" t="s">
        <v>1028</v>
      </c>
      <c r="J32" s="53">
        <v>45974</v>
      </c>
    </row>
    <row r="33" spans="1:10" x14ac:dyDescent="0.25">
      <c r="A33" s="52" t="s">
        <v>41</v>
      </c>
      <c r="B33" s="53">
        <v>45963</v>
      </c>
      <c r="C33" s="52" t="s">
        <v>1010</v>
      </c>
      <c r="D33" s="52" t="s">
        <v>1017</v>
      </c>
      <c r="E33" s="52">
        <v>28</v>
      </c>
      <c r="F33" s="52">
        <v>291</v>
      </c>
      <c r="G33" s="52">
        <v>8148</v>
      </c>
      <c r="H33" s="52" t="s">
        <v>1025</v>
      </c>
      <c r="I33" s="52" t="s">
        <v>1029</v>
      </c>
      <c r="J33" s="53" t="s">
        <v>1031</v>
      </c>
    </row>
    <row r="34" spans="1:10" x14ac:dyDescent="0.25">
      <c r="A34" s="52" t="s">
        <v>42</v>
      </c>
      <c r="B34" s="53">
        <v>45809</v>
      </c>
      <c r="C34" s="52" t="s">
        <v>1011</v>
      </c>
      <c r="D34" s="52" t="s">
        <v>1015</v>
      </c>
      <c r="E34" s="52">
        <v>84</v>
      </c>
      <c r="F34" s="52">
        <v>906</v>
      </c>
      <c r="G34" s="52">
        <v>76104</v>
      </c>
      <c r="H34" s="52" t="s">
        <v>1025</v>
      </c>
      <c r="I34" s="52" t="s">
        <v>1029</v>
      </c>
      <c r="J34" s="53" t="s">
        <v>1031</v>
      </c>
    </row>
    <row r="35" spans="1:10" x14ac:dyDescent="0.25">
      <c r="A35" s="52" t="s">
        <v>43</v>
      </c>
      <c r="B35" s="53">
        <v>46022</v>
      </c>
      <c r="C35" s="52" t="s">
        <v>1013</v>
      </c>
      <c r="D35" s="52" t="s">
        <v>1017</v>
      </c>
      <c r="E35" s="52">
        <v>453</v>
      </c>
      <c r="F35" s="52">
        <v>1518</v>
      </c>
      <c r="G35" s="52">
        <v>687654</v>
      </c>
      <c r="H35" s="52" t="s">
        <v>1027</v>
      </c>
      <c r="I35" s="52" t="s">
        <v>1026</v>
      </c>
      <c r="J35" s="53" t="s">
        <v>1031</v>
      </c>
    </row>
    <row r="36" spans="1:10" x14ac:dyDescent="0.25">
      <c r="A36" s="52" t="s">
        <v>44</v>
      </c>
      <c r="B36" s="53">
        <v>45887</v>
      </c>
      <c r="C36" s="52" t="s">
        <v>1010</v>
      </c>
      <c r="D36" s="52" t="s">
        <v>1022</v>
      </c>
      <c r="E36" s="52">
        <v>441</v>
      </c>
      <c r="F36" s="52">
        <v>1271</v>
      </c>
      <c r="G36" s="52">
        <v>560511</v>
      </c>
      <c r="H36" s="52" t="s">
        <v>1027</v>
      </c>
      <c r="I36" s="52" t="s">
        <v>1026</v>
      </c>
      <c r="J36" s="53" t="s">
        <v>1031</v>
      </c>
    </row>
    <row r="37" spans="1:10" x14ac:dyDescent="0.25">
      <c r="A37" s="52" t="s">
        <v>45</v>
      </c>
      <c r="B37" s="53">
        <v>45709</v>
      </c>
      <c r="C37" s="52" t="s">
        <v>1010</v>
      </c>
      <c r="D37" s="52" t="s">
        <v>1016</v>
      </c>
      <c r="E37" s="52">
        <v>262</v>
      </c>
      <c r="F37" s="52">
        <v>283</v>
      </c>
      <c r="G37" s="52">
        <v>74146</v>
      </c>
      <c r="H37" s="52" t="s">
        <v>1025</v>
      </c>
      <c r="I37" s="52" t="s">
        <v>1029</v>
      </c>
      <c r="J37" s="53" t="s">
        <v>1031</v>
      </c>
    </row>
    <row r="38" spans="1:10" x14ac:dyDescent="0.25">
      <c r="A38" s="52" t="s">
        <v>46</v>
      </c>
      <c r="B38" s="53">
        <v>45956</v>
      </c>
      <c r="C38" s="52" t="s">
        <v>1013</v>
      </c>
      <c r="D38" s="52" t="s">
        <v>1024</v>
      </c>
      <c r="E38" s="52">
        <v>287</v>
      </c>
      <c r="F38" s="52">
        <v>1697</v>
      </c>
      <c r="G38" s="52">
        <v>487039</v>
      </c>
      <c r="H38" s="52" t="s">
        <v>1030</v>
      </c>
      <c r="I38" s="52" t="s">
        <v>1026</v>
      </c>
      <c r="J38" s="53" t="s">
        <v>1031</v>
      </c>
    </row>
    <row r="39" spans="1:10" x14ac:dyDescent="0.25">
      <c r="A39" s="52" t="s">
        <v>47</v>
      </c>
      <c r="B39" s="53">
        <v>45872</v>
      </c>
      <c r="C39" s="52" t="s">
        <v>1011</v>
      </c>
      <c r="D39" s="52" t="s">
        <v>1016</v>
      </c>
      <c r="E39" s="52">
        <v>92</v>
      </c>
      <c r="F39" s="52">
        <v>919</v>
      </c>
      <c r="G39" s="52">
        <v>84548</v>
      </c>
      <c r="H39" s="52" t="s">
        <v>1025</v>
      </c>
      <c r="I39" s="52" t="s">
        <v>1026</v>
      </c>
      <c r="J39" s="53" t="s">
        <v>1031</v>
      </c>
    </row>
    <row r="40" spans="1:10" x14ac:dyDescent="0.25">
      <c r="A40" s="52" t="s">
        <v>48</v>
      </c>
      <c r="B40" s="53">
        <v>45800</v>
      </c>
      <c r="C40" s="52" t="s">
        <v>1014</v>
      </c>
      <c r="D40" s="52" t="s">
        <v>1018</v>
      </c>
      <c r="E40" s="52">
        <v>28</v>
      </c>
      <c r="F40" s="52">
        <v>1663</v>
      </c>
      <c r="G40" s="52">
        <v>46564</v>
      </c>
      <c r="H40" s="52" t="s">
        <v>1025</v>
      </c>
      <c r="I40" s="52" t="s">
        <v>1029</v>
      </c>
      <c r="J40" s="53" t="s">
        <v>1031</v>
      </c>
    </row>
    <row r="41" spans="1:10" x14ac:dyDescent="0.25">
      <c r="A41" s="52" t="s">
        <v>49</v>
      </c>
      <c r="B41" s="53">
        <v>45726</v>
      </c>
      <c r="C41" s="52" t="s">
        <v>1011</v>
      </c>
      <c r="D41" s="52" t="s">
        <v>1017</v>
      </c>
      <c r="E41" s="52">
        <v>69</v>
      </c>
      <c r="F41" s="52">
        <v>1415</v>
      </c>
      <c r="G41" s="52">
        <v>97635</v>
      </c>
      <c r="H41" s="52" t="s">
        <v>1030</v>
      </c>
      <c r="I41" s="52" t="s">
        <v>1028</v>
      </c>
      <c r="J41" s="53">
        <v>45735</v>
      </c>
    </row>
    <row r="42" spans="1:10" x14ac:dyDescent="0.25">
      <c r="A42" s="52" t="s">
        <v>50</v>
      </c>
      <c r="B42" s="53">
        <v>45795</v>
      </c>
      <c r="C42" s="52" t="s">
        <v>1013</v>
      </c>
      <c r="D42" s="52" t="s">
        <v>1021</v>
      </c>
      <c r="E42" s="52">
        <v>60</v>
      </c>
      <c r="F42" s="52">
        <v>408</v>
      </c>
      <c r="G42" s="52">
        <v>24480</v>
      </c>
      <c r="H42" s="52" t="s">
        <v>1027</v>
      </c>
      <c r="I42" s="52" t="s">
        <v>1026</v>
      </c>
      <c r="J42" s="53" t="s">
        <v>1031</v>
      </c>
    </row>
    <row r="43" spans="1:10" x14ac:dyDescent="0.25">
      <c r="A43" s="52" t="s">
        <v>51</v>
      </c>
      <c r="B43" s="53">
        <v>45914</v>
      </c>
      <c r="C43" s="52" t="s">
        <v>1011</v>
      </c>
      <c r="D43" s="52" t="s">
        <v>1017</v>
      </c>
      <c r="E43" s="52">
        <v>157</v>
      </c>
      <c r="F43" s="52">
        <v>1267</v>
      </c>
      <c r="G43" s="52">
        <v>198919</v>
      </c>
      <c r="H43" s="52" t="s">
        <v>1025</v>
      </c>
      <c r="I43" s="52" t="s">
        <v>1026</v>
      </c>
      <c r="J43" s="53" t="s">
        <v>1031</v>
      </c>
    </row>
    <row r="44" spans="1:10" x14ac:dyDescent="0.25">
      <c r="A44" s="52" t="s">
        <v>52</v>
      </c>
      <c r="B44" s="53">
        <v>45660</v>
      </c>
      <c r="C44" s="52" t="s">
        <v>1011</v>
      </c>
      <c r="D44" s="52" t="s">
        <v>1024</v>
      </c>
      <c r="E44" s="52">
        <v>204</v>
      </c>
      <c r="F44" s="52">
        <v>1355</v>
      </c>
      <c r="G44" s="52">
        <v>276420</v>
      </c>
      <c r="H44" s="52" t="s">
        <v>1025</v>
      </c>
      <c r="I44" s="52" t="s">
        <v>1026</v>
      </c>
      <c r="J44" s="53" t="s">
        <v>1031</v>
      </c>
    </row>
    <row r="45" spans="1:10" x14ac:dyDescent="0.25">
      <c r="A45" s="52" t="s">
        <v>53</v>
      </c>
      <c r="B45" s="53">
        <v>45877</v>
      </c>
      <c r="C45" s="52" t="s">
        <v>1010</v>
      </c>
      <c r="D45" s="52" t="s">
        <v>1020</v>
      </c>
      <c r="E45" s="52">
        <v>313</v>
      </c>
      <c r="F45" s="52">
        <v>1585</v>
      </c>
      <c r="G45" s="52">
        <v>496105</v>
      </c>
      <c r="H45" s="52" t="s">
        <v>1027</v>
      </c>
      <c r="I45" s="52" t="s">
        <v>1029</v>
      </c>
      <c r="J45" s="53" t="s">
        <v>1031</v>
      </c>
    </row>
    <row r="46" spans="1:10" x14ac:dyDescent="0.25">
      <c r="A46" s="52" t="s">
        <v>54</v>
      </c>
      <c r="B46" s="53">
        <v>45892</v>
      </c>
      <c r="C46" s="52" t="s">
        <v>1014</v>
      </c>
      <c r="D46" s="52" t="s">
        <v>1022</v>
      </c>
      <c r="E46" s="52">
        <v>277</v>
      </c>
      <c r="F46" s="52">
        <v>688</v>
      </c>
      <c r="G46" s="52">
        <v>190576</v>
      </c>
      <c r="H46" s="52" t="s">
        <v>1030</v>
      </c>
      <c r="I46" s="52" t="s">
        <v>1028</v>
      </c>
      <c r="J46" s="53">
        <v>45903</v>
      </c>
    </row>
    <row r="47" spans="1:10" x14ac:dyDescent="0.25">
      <c r="A47" s="52" t="s">
        <v>55</v>
      </c>
      <c r="B47" s="53">
        <v>45826</v>
      </c>
      <c r="C47" s="52" t="s">
        <v>1013</v>
      </c>
      <c r="D47" s="52" t="s">
        <v>1022</v>
      </c>
      <c r="E47" s="52">
        <v>284</v>
      </c>
      <c r="F47" s="52">
        <v>689</v>
      </c>
      <c r="G47" s="52">
        <v>195676</v>
      </c>
      <c r="H47" s="52" t="s">
        <v>1030</v>
      </c>
      <c r="I47" s="52" t="s">
        <v>1026</v>
      </c>
      <c r="J47" s="53" t="s">
        <v>1031</v>
      </c>
    </row>
    <row r="48" spans="1:10" x14ac:dyDescent="0.25">
      <c r="A48" s="52" t="s">
        <v>56</v>
      </c>
      <c r="B48" s="53">
        <v>45677</v>
      </c>
      <c r="C48" s="52" t="s">
        <v>1012</v>
      </c>
      <c r="D48" s="52" t="s">
        <v>1022</v>
      </c>
      <c r="E48" s="52">
        <v>245</v>
      </c>
      <c r="F48" s="52">
        <v>1017</v>
      </c>
      <c r="G48" s="52">
        <v>249165</v>
      </c>
      <c r="H48" s="52" t="s">
        <v>1030</v>
      </c>
      <c r="I48" s="52" t="s">
        <v>1029</v>
      </c>
      <c r="J48" s="53" t="s">
        <v>1031</v>
      </c>
    </row>
    <row r="49" spans="1:10" x14ac:dyDescent="0.25">
      <c r="A49" s="52" t="s">
        <v>57</v>
      </c>
      <c r="B49" s="53">
        <v>45975</v>
      </c>
      <c r="C49" s="52" t="s">
        <v>1010</v>
      </c>
      <c r="D49" s="52" t="s">
        <v>1023</v>
      </c>
      <c r="E49" s="52">
        <v>256</v>
      </c>
      <c r="F49" s="52">
        <v>494</v>
      </c>
      <c r="G49" s="52">
        <v>126464</v>
      </c>
      <c r="H49" s="52" t="s">
        <v>1027</v>
      </c>
      <c r="I49" s="52" t="s">
        <v>1029</v>
      </c>
      <c r="J49" s="53" t="s">
        <v>1031</v>
      </c>
    </row>
    <row r="50" spans="1:10" x14ac:dyDescent="0.25">
      <c r="A50" s="52" t="s">
        <v>58</v>
      </c>
      <c r="B50" s="53">
        <v>45691</v>
      </c>
      <c r="C50" s="52" t="s">
        <v>1014</v>
      </c>
      <c r="D50" s="52" t="s">
        <v>1017</v>
      </c>
      <c r="E50" s="52">
        <v>278</v>
      </c>
      <c r="F50" s="52">
        <v>1362</v>
      </c>
      <c r="G50" s="52">
        <v>378636</v>
      </c>
      <c r="H50" s="52" t="s">
        <v>1025</v>
      </c>
      <c r="I50" s="52" t="s">
        <v>1026</v>
      </c>
      <c r="J50" s="53" t="s">
        <v>1031</v>
      </c>
    </row>
    <row r="51" spans="1:10" x14ac:dyDescent="0.25">
      <c r="A51" s="52" t="s">
        <v>59</v>
      </c>
      <c r="B51" s="53">
        <v>46017</v>
      </c>
      <c r="C51" s="52" t="s">
        <v>1011</v>
      </c>
      <c r="D51" s="52" t="s">
        <v>1020</v>
      </c>
      <c r="E51" s="52">
        <v>355</v>
      </c>
      <c r="F51" s="52">
        <v>515</v>
      </c>
      <c r="G51" s="52">
        <v>182825</v>
      </c>
      <c r="H51" s="52" t="s">
        <v>1027</v>
      </c>
      <c r="I51" s="52" t="s">
        <v>1026</v>
      </c>
      <c r="J51" s="53" t="s">
        <v>1031</v>
      </c>
    </row>
    <row r="52" spans="1:10" x14ac:dyDescent="0.25">
      <c r="A52" s="52" t="s">
        <v>60</v>
      </c>
      <c r="B52" s="53">
        <v>46028</v>
      </c>
      <c r="C52" s="52" t="s">
        <v>1014</v>
      </c>
      <c r="D52" s="52" t="s">
        <v>1023</v>
      </c>
      <c r="E52" s="52">
        <v>411</v>
      </c>
      <c r="F52" s="52">
        <v>1055</v>
      </c>
      <c r="G52" s="52">
        <v>433605</v>
      </c>
      <c r="H52" s="52" t="s">
        <v>1030</v>
      </c>
      <c r="I52" s="52" t="s">
        <v>1028</v>
      </c>
      <c r="J52" s="53">
        <v>46040</v>
      </c>
    </row>
    <row r="53" spans="1:10" x14ac:dyDescent="0.25">
      <c r="A53" s="52" t="s">
        <v>61</v>
      </c>
      <c r="B53" s="53">
        <v>45911</v>
      </c>
      <c r="C53" s="52" t="s">
        <v>1010</v>
      </c>
      <c r="D53" s="52" t="s">
        <v>1023</v>
      </c>
      <c r="E53" s="52">
        <v>490</v>
      </c>
      <c r="F53" s="52">
        <v>563</v>
      </c>
      <c r="G53" s="52">
        <v>275870</v>
      </c>
      <c r="H53" s="52" t="s">
        <v>1027</v>
      </c>
      <c r="I53" s="52" t="s">
        <v>1026</v>
      </c>
      <c r="J53" s="53" t="s">
        <v>1031</v>
      </c>
    </row>
    <row r="54" spans="1:10" x14ac:dyDescent="0.25">
      <c r="A54" s="52" t="s">
        <v>62</v>
      </c>
      <c r="B54" s="53">
        <v>45997</v>
      </c>
      <c r="C54" s="52" t="s">
        <v>1011</v>
      </c>
      <c r="D54" s="52" t="s">
        <v>1024</v>
      </c>
      <c r="E54" s="52">
        <v>156</v>
      </c>
      <c r="F54" s="52">
        <v>122</v>
      </c>
      <c r="G54" s="52">
        <v>19032</v>
      </c>
      <c r="H54" s="52" t="s">
        <v>1027</v>
      </c>
      <c r="I54" s="52" t="s">
        <v>1029</v>
      </c>
      <c r="J54" s="53" t="s">
        <v>1031</v>
      </c>
    </row>
    <row r="55" spans="1:10" x14ac:dyDescent="0.25">
      <c r="A55" s="52" t="s">
        <v>63</v>
      </c>
      <c r="B55" s="53">
        <v>46020</v>
      </c>
      <c r="C55" s="52" t="s">
        <v>1014</v>
      </c>
      <c r="D55" s="52" t="s">
        <v>1021</v>
      </c>
      <c r="E55" s="52">
        <v>3</v>
      </c>
      <c r="F55" s="52">
        <v>1348</v>
      </c>
      <c r="G55" s="52">
        <v>4044</v>
      </c>
      <c r="H55" s="52" t="s">
        <v>1030</v>
      </c>
      <c r="I55" s="52" t="s">
        <v>1029</v>
      </c>
      <c r="J55" s="53" t="s">
        <v>1031</v>
      </c>
    </row>
    <row r="56" spans="1:10" x14ac:dyDescent="0.25">
      <c r="A56" s="52" t="s">
        <v>64</v>
      </c>
      <c r="B56" s="53">
        <v>45977</v>
      </c>
      <c r="C56" s="52" t="s">
        <v>1013</v>
      </c>
      <c r="D56" s="52" t="s">
        <v>1020</v>
      </c>
      <c r="E56" s="52">
        <v>308</v>
      </c>
      <c r="F56" s="52">
        <v>492</v>
      </c>
      <c r="G56" s="52">
        <v>151536</v>
      </c>
      <c r="H56" s="52" t="s">
        <v>1025</v>
      </c>
      <c r="I56" s="52" t="s">
        <v>1028</v>
      </c>
      <c r="J56" s="53">
        <v>45986</v>
      </c>
    </row>
    <row r="57" spans="1:10" x14ac:dyDescent="0.25">
      <c r="A57" s="52" t="s">
        <v>65</v>
      </c>
      <c r="B57" s="53">
        <v>45722</v>
      </c>
      <c r="C57" s="52" t="s">
        <v>1014</v>
      </c>
      <c r="D57" s="52" t="s">
        <v>1015</v>
      </c>
      <c r="E57" s="52">
        <v>4</v>
      </c>
      <c r="F57" s="52">
        <v>99</v>
      </c>
      <c r="G57" s="52">
        <v>396</v>
      </c>
      <c r="H57" s="52" t="s">
        <v>1027</v>
      </c>
      <c r="I57" s="52" t="s">
        <v>1029</v>
      </c>
      <c r="J57" s="53" t="s">
        <v>1031</v>
      </c>
    </row>
    <row r="58" spans="1:10" x14ac:dyDescent="0.25">
      <c r="A58" s="52" t="s">
        <v>66</v>
      </c>
      <c r="B58" s="53">
        <v>45895</v>
      </c>
      <c r="C58" s="52" t="s">
        <v>1011</v>
      </c>
      <c r="D58" s="52" t="s">
        <v>1021</v>
      </c>
      <c r="E58" s="52">
        <v>436</v>
      </c>
      <c r="F58" s="52">
        <v>1140</v>
      </c>
      <c r="G58" s="52">
        <v>497040</v>
      </c>
      <c r="H58" s="52" t="s">
        <v>1027</v>
      </c>
      <c r="I58" s="52" t="s">
        <v>1029</v>
      </c>
      <c r="J58" s="53" t="s">
        <v>1031</v>
      </c>
    </row>
    <row r="59" spans="1:10" x14ac:dyDescent="0.25">
      <c r="A59" s="52" t="s">
        <v>67</v>
      </c>
      <c r="B59" s="53">
        <v>45959</v>
      </c>
      <c r="C59" s="52" t="s">
        <v>1013</v>
      </c>
      <c r="D59" s="52" t="s">
        <v>1020</v>
      </c>
      <c r="E59" s="52">
        <v>139</v>
      </c>
      <c r="F59" s="52">
        <v>1053</v>
      </c>
      <c r="G59" s="52">
        <v>146367</v>
      </c>
      <c r="H59" s="52" t="s">
        <v>1025</v>
      </c>
      <c r="I59" s="52" t="s">
        <v>1029</v>
      </c>
      <c r="J59" s="53" t="s">
        <v>1031</v>
      </c>
    </row>
    <row r="60" spans="1:10" x14ac:dyDescent="0.25">
      <c r="A60" s="52" t="s">
        <v>68</v>
      </c>
      <c r="B60" s="53">
        <v>45712</v>
      </c>
      <c r="C60" s="52" t="s">
        <v>1013</v>
      </c>
      <c r="D60" s="52" t="s">
        <v>1024</v>
      </c>
      <c r="E60" s="52">
        <v>281</v>
      </c>
      <c r="F60" s="52">
        <v>1475</v>
      </c>
      <c r="G60" s="52">
        <v>414475</v>
      </c>
      <c r="H60" s="52" t="s">
        <v>1025</v>
      </c>
      <c r="I60" s="52" t="s">
        <v>1029</v>
      </c>
      <c r="J60" s="53" t="s">
        <v>1031</v>
      </c>
    </row>
    <row r="61" spans="1:10" x14ac:dyDescent="0.25">
      <c r="A61" s="52" t="s">
        <v>69</v>
      </c>
      <c r="B61" s="53">
        <v>45956</v>
      </c>
      <c r="C61" s="52" t="s">
        <v>1013</v>
      </c>
      <c r="D61" s="52" t="s">
        <v>1024</v>
      </c>
      <c r="E61" s="52">
        <v>221</v>
      </c>
      <c r="F61" s="52">
        <v>1845</v>
      </c>
      <c r="G61" s="52">
        <v>407745</v>
      </c>
      <c r="H61" s="52" t="s">
        <v>1030</v>
      </c>
      <c r="I61" s="52" t="s">
        <v>1028</v>
      </c>
      <c r="J61" s="53">
        <v>45967</v>
      </c>
    </row>
    <row r="62" spans="1:10" x14ac:dyDescent="0.25">
      <c r="A62" s="52" t="s">
        <v>70</v>
      </c>
      <c r="B62" s="53">
        <v>45727</v>
      </c>
      <c r="C62" s="52" t="s">
        <v>1011</v>
      </c>
      <c r="D62" s="52" t="s">
        <v>1024</v>
      </c>
      <c r="E62" s="52">
        <v>159</v>
      </c>
      <c r="F62" s="52">
        <v>178</v>
      </c>
      <c r="G62" s="52">
        <v>28302</v>
      </c>
      <c r="H62" s="52" t="s">
        <v>1025</v>
      </c>
      <c r="I62" s="52" t="s">
        <v>1029</v>
      </c>
      <c r="J62" s="53" t="s">
        <v>1031</v>
      </c>
    </row>
    <row r="63" spans="1:10" x14ac:dyDescent="0.25">
      <c r="A63" s="52" t="s">
        <v>71</v>
      </c>
      <c r="B63" s="53">
        <v>46036</v>
      </c>
      <c r="C63" s="52" t="s">
        <v>1014</v>
      </c>
      <c r="D63" s="52" t="s">
        <v>1016</v>
      </c>
      <c r="E63" s="52">
        <v>182</v>
      </c>
      <c r="F63" s="52">
        <v>739</v>
      </c>
      <c r="G63" s="52">
        <v>134498</v>
      </c>
      <c r="H63" s="52" t="s">
        <v>1027</v>
      </c>
      <c r="I63" s="52" t="s">
        <v>1029</v>
      </c>
      <c r="J63" s="53" t="s">
        <v>1031</v>
      </c>
    </row>
    <row r="64" spans="1:10" x14ac:dyDescent="0.25">
      <c r="A64" s="52" t="s">
        <v>72</v>
      </c>
      <c r="B64" s="53">
        <v>45962</v>
      </c>
      <c r="C64" s="52" t="s">
        <v>1010</v>
      </c>
      <c r="D64" s="52" t="s">
        <v>1021</v>
      </c>
      <c r="E64" s="52">
        <v>70</v>
      </c>
      <c r="F64" s="52">
        <v>1858</v>
      </c>
      <c r="G64" s="52">
        <v>130060</v>
      </c>
      <c r="H64" s="52" t="s">
        <v>1027</v>
      </c>
      <c r="I64" s="52" t="s">
        <v>1029</v>
      </c>
      <c r="J64" s="53" t="s">
        <v>1031</v>
      </c>
    </row>
    <row r="65" spans="1:10" x14ac:dyDescent="0.25">
      <c r="A65" s="52" t="s">
        <v>73</v>
      </c>
      <c r="B65" s="53">
        <v>45895</v>
      </c>
      <c r="C65" s="52" t="s">
        <v>1011</v>
      </c>
      <c r="D65" s="52" t="s">
        <v>1018</v>
      </c>
      <c r="E65" s="52">
        <v>206</v>
      </c>
      <c r="F65" s="52">
        <v>1488</v>
      </c>
      <c r="G65" s="52">
        <v>306528</v>
      </c>
      <c r="H65" s="52" t="s">
        <v>1030</v>
      </c>
      <c r="I65" s="52" t="s">
        <v>1028</v>
      </c>
      <c r="J65" s="53">
        <v>45909</v>
      </c>
    </row>
    <row r="66" spans="1:10" x14ac:dyDescent="0.25">
      <c r="A66" s="52" t="s">
        <v>74</v>
      </c>
      <c r="B66" s="53">
        <v>45980</v>
      </c>
      <c r="C66" s="52" t="s">
        <v>1010</v>
      </c>
      <c r="D66" s="52" t="s">
        <v>1016</v>
      </c>
      <c r="E66" s="52">
        <v>223</v>
      </c>
      <c r="F66" s="52">
        <v>396</v>
      </c>
      <c r="G66" s="52">
        <v>88308</v>
      </c>
      <c r="H66" s="52" t="s">
        <v>1025</v>
      </c>
      <c r="I66" s="52" t="s">
        <v>1026</v>
      </c>
      <c r="J66" s="53" t="s">
        <v>1031</v>
      </c>
    </row>
    <row r="67" spans="1:10" x14ac:dyDescent="0.25">
      <c r="A67" s="52" t="s">
        <v>75</v>
      </c>
      <c r="B67" s="53">
        <v>45934</v>
      </c>
      <c r="C67" s="52" t="s">
        <v>1011</v>
      </c>
      <c r="D67" s="52" t="s">
        <v>1021</v>
      </c>
      <c r="E67" s="52">
        <v>160</v>
      </c>
      <c r="F67" s="52">
        <v>163</v>
      </c>
      <c r="G67" s="52">
        <v>26080</v>
      </c>
      <c r="H67" s="52" t="s">
        <v>1025</v>
      </c>
      <c r="I67" s="52" t="s">
        <v>1029</v>
      </c>
      <c r="J67" s="53" t="s">
        <v>1031</v>
      </c>
    </row>
    <row r="68" spans="1:10" x14ac:dyDescent="0.25">
      <c r="A68" s="52" t="s">
        <v>76</v>
      </c>
      <c r="B68" s="53">
        <v>45967</v>
      </c>
      <c r="C68" s="52" t="s">
        <v>1010</v>
      </c>
      <c r="D68" s="52" t="s">
        <v>1020</v>
      </c>
      <c r="E68" s="52">
        <v>393</v>
      </c>
      <c r="F68" s="52">
        <v>1133</v>
      </c>
      <c r="G68" s="52">
        <v>445269</v>
      </c>
      <c r="H68" s="52" t="s">
        <v>1027</v>
      </c>
      <c r="I68" s="52" t="s">
        <v>1029</v>
      </c>
      <c r="J68" s="53" t="s">
        <v>1031</v>
      </c>
    </row>
    <row r="69" spans="1:10" x14ac:dyDescent="0.25">
      <c r="A69" s="52" t="s">
        <v>77</v>
      </c>
      <c r="B69" s="53">
        <v>45841</v>
      </c>
      <c r="C69" s="52" t="s">
        <v>1014</v>
      </c>
      <c r="D69" s="52" t="s">
        <v>1023</v>
      </c>
      <c r="E69" s="52">
        <v>182</v>
      </c>
      <c r="F69" s="52">
        <v>856</v>
      </c>
      <c r="G69" s="52">
        <v>155792</v>
      </c>
      <c r="H69" s="52" t="s">
        <v>1027</v>
      </c>
      <c r="I69" s="52" t="s">
        <v>1029</v>
      </c>
      <c r="J69" s="53" t="s">
        <v>1031</v>
      </c>
    </row>
    <row r="70" spans="1:10" x14ac:dyDescent="0.25">
      <c r="A70" s="52" t="s">
        <v>78</v>
      </c>
      <c r="B70" s="53">
        <v>45680</v>
      </c>
      <c r="C70" s="52" t="s">
        <v>1010</v>
      </c>
      <c r="D70" s="52" t="s">
        <v>1020</v>
      </c>
      <c r="E70" s="52">
        <v>344</v>
      </c>
      <c r="F70" s="52">
        <v>444</v>
      </c>
      <c r="G70" s="52">
        <v>152736</v>
      </c>
      <c r="H70" s="52" t="s">
        <v>1025</v>
      </c>
      <c r="I70" s="52" t="s">
        <v>1026</v>
      </c>
      <c r="J70" s="53" t="s">
        <v>1031</v>
      </c>
    </row>
    <row r="71" spans="1:10" x14ac:dyDescent="0.25">
      <c r="A71" s="52" t="s">
        <v>79</v>
      </c>
      <c r="B71" s="53">
        <v>45707</v>
      </c>
      <c r="C71" s="52" t="s">
        <v>1013</v>
      </c>
      <c r="D71" s="52" t="s">
        <v>1015</v>
      </c>
      <c r="E71" s="52">
        <v>130</v>
      </c>
      <c r="F71" s="52">
        <v>1450</v>
      </c>
      <c r="G71" s="52">
        <v>188500</v>
      </c>
      <c r="H71" s="52" t="s">
        <v>1030</v>
      </c>
      <c r="I71" s="52" t="s">
        <v>1026</v>
      </c>
      <c r="J71" s="53" t="s">
        <v>1031</v>
      </c>
    </row>
    <row r="72" spans="1:10" x14ac:dyDescent="0.25">
      <c r="A72" s="52" t="s">
        <v>80</v>
      </c>
      <c r="B72" s="53">
        <v>45741</v>
      </c>
      <c r="C72" s="52" t="s">
        <v>1014</v>
      </c>
      <c r="D72" s="52" t="s">
        <v>1021</v>
      </c>
      <c r="E72" s="52">
        <v>476</v>
      </c>
      <c r="F72" s="52">
        <v>457</v>
      </c>
      <c r="G72" s="52">
        <v>217532</v>
      </c>
      <c r="H72" s="52" t="s">
        <v>1025</v>
      </c>
      <c r="I72" s="52" t="s">
        <v>1028</v>
      </c>
      <c r="J72" s="53">
        <v>45748</v>
      </c>
    </row>
    <row r="73" spans="1:10" x14ac:dyDescent="0.25">
      <c r="A73" s="52" t="s">
        <v>81</v>
      </c>
      <c r="B73" s="53">
        <v>45730</v>
      </c>
      <c r="C73" s="52" t="s">
        <v>1010</v>
      </c>
      <c r="D73" s="52" t="s">
        <v>1024</v>
      </c>
      <c r="E73" s="52">
        <v>82</v>
      </c>
      <c r="F73" s="52">
        <v>38</v>
      </c>
      <c r="G73" s="52">
        <v>3116</v>
      </c>
      <c r="H73" s="52" t="s">
        <v>1027</v>
      </c>
      <c r="I73" s="52" t="s">
        <v>1029</v>
      </c>
      <c r="J73" s="53" t="s">
        <v>1031</v>
      </c>
    </row>
    <row r="74" spans="1:10" x14ac:dyDescent="0.25">
      <c r="A74" s="52" t="s">
        <v>82</v>
      </c>
      <c r="B74" s="53">
        <v>45756</v>
      </c>
      <c r="C74" s="52" t="s">
        <v>1013</v>
      </c>
      <c r="D74" s="52" t="s">
        <v>1024</v>
      </c>
      <c r="E74" s="52">
        <v>154</v>
      </c>
      <c r="F74" s="52">
        <v>1184</v>
      </c>
      <c r="G74" s="52">
        <v>182336</v>
      </c>
      <c r="H74" s="52" t="s">
        <v>1030</v>
      </c>
      <c r="I74" s="52" t="s">
        <v>1026</v>
      </c>
      <c r="J74" s="53" t="s">
        <v>1031</v>
      </c>
    </row>
    <row r="75" spans="1:10" x14ac:dyDescent="0.25">
      <c r="A75" s="52" t="s">
        <v>83</v>
      </c>
      <c r="B75" s="53">
        <v>45982</v>
      </c>
      <c r="C75" s="52" t="s">
        <v>1010</v>
      </c>
      <c r="D75" s="52" t="s">
        <v>1021</v>
      </c>
      <c r="E75" s="52">
        <v>335</v>
      </c>
      <c r="F75" s="52">
        <v>905</v>
      </c>
      <c r="G75" s="52">
        <v>303175</v>
      </c>
      <c r="H75" s="52" t="s">
        <v>1030</v>
      </c>
      <c r="I75" s="52" t="s">
        <v>1028</v>
      </c>
      <c r="J75" s="53">
        <v>45995</v>
      </c>
    </row>
    <row r="76" spans="1:10" x14ac:dyDescent="0.25">
      <c r="A76" s="52" t="s">
        <v>84</v>
      </c>
      <c r="B76" s="53">
        <v>45705</v>
      </c>
      <c r="C76" s="52" t="s">
        <v>1011</v>
      </c>
      <c r="D76" s="52" t="s">
        <v>1024</v>
      </c>
      <c r="E76" s="52">
        <v>303</v>
      </c>
      <c r="F76" s="52">
        <v>1037</v>
      </c>
      <c r="G76" s="52">
        <v>314211</v>
      </c>
      <c r="H76" s="52" t="s">
        <v>1027</v>
      </c>
      <c r="I76" s="52" t="s">
        <v>1028</v>
      </c>
      <c r="J76" s="53">
        <v>45718</v>
      </c>
    </row>
    <row r="77" spans="1:10" x14ac:dyDescent="0.25">
      <c r="A77" s="52" t="s">
        <v>85</v>
      </c>
      <c r="B77" s="53">
        <v>45741</v>
      </c>
      <c r="C77" s="52" t="s">
        <v>1013</v>
      </c>
      <c r="D77" s="52" t="s">
        <v>1020</v>
      </c>
      <c r="E77" s="52">
        <v>354</v>
      </c>
      <c r="F77" s="52">
        <v>156</v>
      </c>
      <c r="G77" s="52">
        <v>55224</v>
      </c>
      <c r="H77" s="52" t="s">
        <v>1027</v>
      </c>
      <c r="I77" s="52" t="s">
        <v>1029</v>
      </c>
      <c r="J77" s="53" t="s">
        <v>1031</v>
      </c>
    </row>
    <row r="78" spans="1:10" x14ac:dyDescent="0.25">
      <c r="A78" s="52" t="s">
        <v>86</v>
      </c>
      <c r="B78" s="53">
        <v>45814</v>
      </c>
      <c r="C78" s="52" t="s">
        <v>1012</v>
      </c>
      <c r="D78" s="52" t="s">
        <v>1019</v>
      </c>
      <c r="E78" s="52">
        <v>74</v>
      </c>
      <c r="F78" s="52">
        <v>409</v>
      </c>
      <c r="G78" s="52">
        <v>30266</v>
      </c>
      <c r="H78" s="52" t="s">
        <v>1025</v>
      </c>
      <c r="I78" s="52" t="s">
        <v>1026</v>
      </c>
      <c r="J78" s="53" t="s">
        <v>1031</v>
      </c>
    </row>
    <row r="79" spans="1:10" x14ac:dyDescent="0.25">
      <c r="A79" s="52" t="s">
        <v>87</v>
      </c>
      <c r="B79" s="53">
        <v>45962</v>
      </c>
      <c r="C79" s="52" t="s">
        <v>1010</v>
      </c>
      <c r="D79" s="52" t="s">
        <v>1018</v>
      </c>
      <c r="E79" s="52">
        <v>97</v>
      </c>
      <c r="F79" s="52">
        <v>669</v>
      </c>
      <c r="G79" s="52">
        <v>64893</v>
      </c>
      <c r="H79" s="52" t="s">
        <v>1030</v>
      </c>
      <c r="I79" s="52" t="s">
        <v>1026</v>
      </c>
      <c r="J79" s="53" t="s">
        <v>1031</v>
      </c>
    </row>
    <row r="80" spans="1:10" x14ac:dyDescent="0.25">
      <c r="A80" s="52" t="s">
        <v>88</v>
      </c>
      <c r="B80" s="53">
        <v>45677</v>
      </c>
      <c r="C80" s="52" t="s">
        <v>1013</v>
      </c>
      <c r="D80" s="52" t="s">
        <v>1023</v>
      </c>
      <c r="E80" s="52">
        <v>361</v>
      </c>
      <c r="F80" s="52">
        <v>1470</v>
      </c>
      <c r="G80" s="52">
        <v>530670</v>
      </c>
      <c r="H80" s="52" t="s">
        <v>1030</v>
      </c>
      <c r="I80" s="52" t="s">
        <v>1026</v>
      </c>
      <c r="J80" s="53" t="s">
        <v>1031</v>
      </c>
    </row>
    <row r="81" spans="1:10" x14ac:dyDescent="0.25">
      <c r="A81" s="52" t="s">
        <v>89</v>
      </c>
      <c r="B81" s="53">
        <v>45859</v>
      </c>
      <c r="C81" s="52" t="s">
        <v>1013</v>
      </c>
      <c r="D81" s="52" t="s">
        <v>1018</v>
      </c>
      <c r="E81" s="52">
        <v>197</v>
      </c>
      <c r="F81" s="52">
        <v>1168</v>
      </c>
      <c r="G81" s="52">
        <v>230096</v>
      </c>
      <c r="H81" s="52" t="s">
        <v>1025</v>
      </c>
      <c r="I81" s="52" t="s">
        <v>1026</v>
      </c>
      <c r="J81" s="53" t="s">
        <v>1031</v>
      </c>
    </row>
    <row r="82" spans="1:10" x14ac:dyDescent="0.25">
      <c r="A82" s="52" t="s">
        <v>90</v>
      </c>
      <c r="B82" s="53">
        <v>45790</v>
      </c>
      <c r="C82" s="52" t="s">
        <v>1011</v>
      </c>
      <c r="D82" s="52" t="s">
        <v>1018</v>
      </c>
      <c r="E82" s="52">
        <v>181</v>
      </c>
      <c r="F82" s="52">
        <v>665</v>
      </c>
      <c r="G82" s="52">
        <v>120365</v>
      </c>
      <c r="H82" s="52" t="s">
        <v>1027</v>
      </c>
      <c r="I82" s="52" t="s">
        <v>1028</v>
      </c>
      <c r="J82" s="53">
        <v>45805</v>
      </c>
    </row>
    <row r="83" spans="1:10" x14ac:dyDescent="0.25">
      <c r="A83" s="52" t="s">
        <v>91</v>
      </c>
      <c r="B83" s="53">
        <v>45671</v>
      </c>
      <c r="C83" s="52" t="s">
        <v>1011</v>
      </c>
      <c r="D83" s="52" t="s">
        <v>1018</v>
      </c>
      <c r="E83" s="52">
        <v>124</v>
      </c>
      <c r="F83" s="52">
        <v>1585</v>
      </c>
      <c r="G83" s="52">
        <v>196540</v>
      </c>
      <c r="H83" s="52" t="s">
        <v>1030</v>
      </c>
      <c r="I83" s="52" t="s">
        <v>1026</v>
      </c>
      <c r="J83" s="53" t="s">
        <v>1031</v>
      </c>
    </row>
    <row r="84" spans="1:10" x14ac:dyDescent="0.25">
      <c r="A84" s="52" t="s">
        <v>92</v>
      </c>
      <c r="B84" s="53">
        <v>45740</v>
      </c>
      <c r="C84" s="52" t="s">
        <v>1013</v>
      </c>
      <c r="D84" s="52" t="s">
        <v>1018</v>
      </c>
      <c r="E84" s="52">
        <v>283</v>
      </c>
      <c r="F84" s="52">
        <v>1463</v>
      </c>
      <c r="G84" s="52">
        <v>414029</v>
      </c>
      <c r="H84" s="52" t="s">
        <v>1025</v>
      </c>
      <c r="I84" s="52" t="s">
        <v>1026</v>
      </c>
      <c r="J84" s="53" t="s">
        <v>1031</v>
      </c>
    </row>
    <row r="85" spans="1:10" x14ac:dyDescent="0.25">
      <c r="A85" s="52" t="s">
        <v>93</v>
      </c>
      <c r="B85" s="53">
        <v>45704</v>
      </c>
      <c r="C85" s="52" t="s">
        <v>1010</v>
      </c>
      <c r="D85" s="52" t="s">
        <v>1015</v>
      </c>
      <c r="E85" s="52">
        <v>44</v>
      </c>
      <c r="F85" s="52">
        <v>811</v>
      </c>
      <c r="G85" s="52">
        <v>35684</v>
      </c>
      <c r="H85" s="52" t="s">
        <v>1027</v>
      </c>
      <c r="I85" s="52" t="s">
        <v>1029</v>
      </c>
      <c r="J85" s="53" t="s">
        <v>1031</v>
      </c>
    </row>
    <row r="86" spans="1:10" x14ac:dyDescent="0.25">
      <c r="A86" s="52" t="s">
        <v>94</v>
      </c>
      <c r="B86" s="53">
        <v>45769</v>
      </c>
      <c r="C86" s="52" t="s">
        <v>1010</v>
      </c>
      <c r="D86" s="52" t="s">
        <v>1017</v>
      </c>
      <c r="E86" s="52">
        <v>108</v>
      </c>
      <c r="F86" s="52">
        <v>1568</v>
      </c>
      <c r="G86" s="52">
        <v>169344</v>
      </c>
      <c r="H86" s="52" t="s">
        <v>1027</v>
      </c>
      <c r="I86" s="52" t="s">
        <v>1026</v>
      </c>
      <c r="J86" s="53" t="s">
        <v>1031</v>
      </c>
    </row>
    <row r="87" spans="1:10" x14ac:dyDescent="0.25">
      <c r="A87" s="52" t="s">
        <v>95</v>
      </c>
      <c r="B87" s="53">
        <v>46048</v>
      </c>
      <c r="C87" s="52" t="s">
        <v>1011</v>
      </c>
      <c r="D87" s="52" t="s">
        <v>1018</v>
      </c>
      <c r="E87" s="52">
        <v>157</v>
      </c>
      <c r="F87" s="52">
        <v>1899</v>
      </c>
      <c r="G87" s="52">
        <v>298143</v>
      </c>
      <c r="H87" s="52" t="s">
        <v>1030</v>
      </c>
      <c r="I87" s="52" t="s">
        <v>1029</v>
      </c>
      <c r="J87" s="53" t="s">
        <v>1031</v>
      </c>
    </row>
    <row r="88" spans="1:10" x14ac:dyDescent="0.25">
      <c r="A88" s="52" t="s">
        <v>96</v>
      </c>
      <c r="B88" s="53">
        <v>45810</v>
      </c>
      <c r="C88" s="52" t="s">
        <v>1014</v>
      </c>
      <c r="D88" s="52" t="s">
        <v>1016</v>
      </c>
      <c r="E88" s="52">
        <v>85</v>
      </c>
      <c r="F88" s="52">
        <v>62</v>
      </c>
      <c r="G88" s="52">
        <v>5270</v>
      </c>
      <c r="H88" s="52" t="s">
        <v>1030</v>
      </c>
      <c r="I88" s="52" t="s">
        <v>1029</v>
      </c>
      <c r="J88" s="53" t="s">
        <v>1031</v>
      </c>
    </row>
    <row r="89" spans="1:10" x14ac:dyDescent="0.25">
      <c r="A89" s="52" t="s">
        <v>97</v>
      </c>
      <c r="B89" s="53">
        <v>45916</v>
      </c>
      <c r="C89" s="52" t="s">
        <v>1013</v>
      </c>
      <c r="D89" s="52" t="s">
        <v>1019</v>
      </c>
      <c r="E89" s="52">
        <v>157</v>
      </c>
      <c r="F89" s="52">
        <v>1709</v>
      </c>
      <c r="G89" s="52">
        <v>268313</v>
      </c>
      <c r="H89" s="52" t="s">
        <v>1027</v>
      </c>
      <c r="I89" s="52" t="s">
        <v>1029</v>
      </c>
      <c r="J89" s="53" t="s">
        <v>1031</v>
      </c>
    </row>
    <row r="90" spans="1:10" x14ac:dyDescent="0.25">
      <c r="A90" s="52" t="s">
        <v>98</v>
      </c>
      <c r="B90" s="53">
        <v>45999</v>
      </c>
      <c r="C90" s="52" t="s">
        <v>1012</v>
      </c>
      <c r="D90" s="52" t="s">
        <v>1021</v>
      </c>
      <c r="E90" s="52">
        <v>254</v>
      </c>
      <c r="F90" s="52">
        <v>1260</v>
      </c>
      <c r="G90" s="52">
        <v>320040</v>
      </c>
      <c r="H90" s="52" t="s">
        <v>1027</v>
      </c>
      <c r="I90" s="52" t="s">
        <v>1029</v>
      </c>
      <c r="J90" s="53" t="s">
        <v>1031</v>
      </c>
    </row>
    <row r="91" spans="1:10" x14ac:dyDescent="0.25">
      <c r="A91" s="52" t="s">
        <v>99</v>
      </c>
      <c r="B91" s="53">
        <v>45768</v>
      </c>
      <c r="C91" s="52" t="s">
        <v>1012</v>
      </c>
      <c r="D91" s="52" t="s">
        <v>1023</v>
      </c>
      <c r="E91" s="52">
        <v>365</v>
      </c>
      <c r="F91" s="52">
        <v>1204</v>
      </c>
      <c r="G91" s="52">
        <v>439460</v>
      </c>
      <c r="H91" s="52" t="s">
        <v>1027</v>
      </c>
      <c r="I91" s="52" t="s">
        <v>1026</v>
      </c>
      <c r="J91" s="53" t="s">
        <v>1031</v>
      </c>
    </row>
    <row r="92" spans="1:10" x14ac:dyDescent="0.25">
      <c r="A92" s="52" t="s">
        <v>100</v>
      </c>
      <c r="B92" s="53">
        <v>45717</v>
      </c>
      <c r="C92" s="52" t="s">
        <v>1014</v>
      </c>
      <c r="D92" s="52" t="s">
        <v>1023</v>
      </c>
      <c r="E92" s="52">
        <v>363</v>
      </c>
      <c r="F92" s="52">
        <v>1496</v>
      </c>
      <c r="G92" s="52">
        <v>543048</v>
      </c>
      <c r="H92" s="52" t="s">
        <v>1030</v>
      </c>
      <c r="I92" s="52" t="s">
        <v>1029</v>
      </c>
      <c r="J92" s="53" t="s">
        <v>1031</v>
      </c>
    </row>
    <row r="93" spans="1:10" x14ac:dyDescent="0.25">
      <c r="A93" s="52" t="s">
        <v>101</v>
      </c>
      <c r="B93" s="53">
        <v>45938</v>
      </c>
      <c r="C93" s="52" t="s">
        <v>1012</v>
      </c>
      <c r="D93" s="52" t="s">
        <v>1020</v>
      </c>
      <c r="E93" s="52">
        <v>119</v>
      </c>
      <c r="F93" s="52">
        <v>50</v>
      </c>
      <c r="G93" s="52">
        <v>5950</v>
      </c>
      <c r="H93" s="52" t="s">
        <v>1025</v>
      </c>
      <c r="I93" s="52" t="s">
        <v>1028</v>
      </c>
      <c r="J93" s="53">
        <v>45943</v>
      </c>
    </row>
    <row r="94" spans="1:10" x14ac:dyDescent="0.25">
      <c r="A94" s="52" t="s">
        <v>102</v>
      </c>
      <c r="B94" s="53">
        <v>45940</v>
      </c>
      <c r="C94" s="52" t="s">
        <v>1014</v>
      </c>
      <c r="D94" s="52" t="s">
        <v>1023</v>
      </c>
      <c r="E94" s="52">
        <v>31</v>
      </c>
      <c r="F94" s="52">
        <v>855</v>
      </c>
      <c r="G94" s="52">
        <v>26505</v>
      </c>
      <c r="H94" s="52" t="s">
        <v>1025</v>
      </c>
      <c r="I94" s="52" t="s">
        <v>1028</v>
      </c>
      <c r="J94" s="53">
        <v>45945</v>
      </c>
    </row>
    <row r="95" spans="1:10" x14ac:dyDescent="0.25">
      <c r="A95" s="52" t="s">
        <v>103</v>
      </c>
      <c r="B95" s="53">
        <v>45971</v>
      </c>
      <c r="C95" s="52" t="s">
        <v>1013</v>
      </c>
      <c r="D95" s="52" t="s">
        <v>1017</v>
      </c>
      <c r="E95" s="52">
        <v>344</v>
      </c>
      <c r="F95" s="52">
        <v>929</v>
      </c>
      <c r="G95" s="52">
        <v>319576</v>
      </c>
      <c r="H95" s="52" t="s">
        <v>1030</v>
      </c>
      <c r="I95" s="52" t="s">
        <v>1029</v>
      </c>
      <c r="J95" s="53" t="s">
        <v>1031</v>
      </c>
    </row>
    <row r="96" spans="1:10" x14ac:dyDescent="0.25">
      <c r="A96" s="52" t="s">
        <v>104</v>
      </c>
      <c r="B96" s="53">
        <v>45959</v>
      </c>
      <c r="C96" s="52" t="s">
        <v>1014</v>
      </c>
      <c r="D96" s="52" t="s">
        <v>1020</v>
      </c>
      <c r="E96" s="52">
        <v>70</v>
      </c>
      <c r="F96" s="52">
        <v>378</v>
      </c>
      <c r="G96" s="52">
        <v>26460</v>
      </c>
      <c r="H96" s="52" t="s">
        <v>1025</v>
      </c>
      <c r="I96" s="52" t="s">
        <v>1026</v>
      </c>
      <c r="J96" s="53" t="s">
        <v>1031</v>
      </c>
    </row>
    <row r="97" spans="1:10" x14ac:dyDescent="0.25">
      <c r="A97" s="52" t="s">
        <v>105</v>
      </c>
      <c r="B97" s="53">
        <v>45711</v>
      </c>
      <c r="C97" s="52" t="s">
        <v>1013</v>
      </c>
      <c r="D97" s="52" t="s">
        <v>1015</v>
      </c>
      <c r="E97" s="52">
        <v>125</v>
      </c>
      <c r="F97" s="52">
        <v>158</v>
      </c>
      <c r="G97" s="52">
        <v>19750</v>
      </c>
      <c r="H97" s="52" t="s">
        <v>1027</v>
      </c>
      <c r="I97" s="52" t="s">
        <v>1028</v>
      </c>
      <c r="J97" s="53">
        <v>45725</v>
      </c>
    </row>
    <row r="98" spans="1:10" x14ac:dyDescent="0.25">
      <c r="A98" s="52" t="s">
        <v>106</v>
      </c>
      <c r="B98" s="53">
        <v>45897</v>
      </c>
      <c r="C98" s="52" t="s">
        <v>1014</v>
      </c>
      <c r="D98" s="52" t="s">
        <v>1024</v>
      </c>
      <c r="E98" s="52">
        <v>1</v>
      </c>
      <c r="F98" s="52">
        <v>1427</v>
      </c>
      <c r="G98" s="52">
        <v>1427</v>
      </c>
      <c r="H98" s="52" t="s">
        <v>1030</v>
      </c>
      <c r="I98" s="52" t="s">
        <v>1028</v>
      </c>
      <c r="J98" s="53">
        <v>45906</v>
      </c>
    </row>
    <row r="99" spans="1:10" x14ac:dyDescent="0.25">
      <c r="A99" s="52" t="s">
        <v>107</v>
      </c>
      <c r="B99" s="53">
        <v>45838</v>
      </c>
      <c r="C99" s="52" t="s">
        <v>1014</v>
      </c>
      <c r="D99" s="52" t="s">
        <v>1021</v>
      </c>
      <c r="E99" s="52">
        <v>478</v>
      </c>
      <c r="F99" s="52">
        <v>1030</v>
      </c>
      <c r="G99" s="52">
        <v>492340</v>
      </c>
      <c r="H99" s="52" t="s">
        <v>1027</v>
      </c>
      <c r="I99" s="52" t="s">
        <v>1029</v>
      </c>
      <c r="J99" s="53" t="s">
        <v>1031</v>
      </c>
    </row>
    <row r="100" spans="1:10" x14ac:dyDescent="0.25">
      <c r="A100" s="52" t="s">
        <v>108</v>
      </c>
      <c r="B100" s="53">
        <v>45784</v>
      </c>
      <c r="C100" s="52" t="s">
        <v>1014</v>
      </c>
      <c r="D100" s="52" t="s">
        <v>1018</v>
      </c>
      <c r="E100" s="52">
        <v>328</v>
      </c>
      <c r="F100" s="52">
        <v>1337</v>
      </c>
      <c r="G100" s="52">
        <v>438536</v>
      </c>
      <c r="H100" s="52" t="s">
        <v>1027</v>
      </c>
      <c r="I100" s="52" t="s">
        <v>1028</v>
      </c>
      <c r="J100" s="53">
        <v>45795</v>
      </c>
    </row>
    <row r="101" spans="1:10" x14ac:dyDescent="0.25">
      <c r="A101" s="52" t="s">
        <v>109</v>
      </c>
      <c r="B101" s="53">
        <v>46040</v>
      </c>
      <c r="C101" s="52" t="s">
        <v>1011</v>
      </c>
      <c r="D101" s="52" t="s">
        <v>1024</v>
      </c>
      <c r="E101" s="52">
        <v>198</v>
      </c>
      <c r="F101" s="52">
        <v>1153</v>
      </c>
      <c r="G101" s="52">
        <v>228294</v>
      </c>
      <c r="H101" s="52" t="s">
        <v>1030</v>
      </c>
      <c r="I101" s="52" t="s">
        <v>1028</v>
      </c>
      <c r="J101" s="53">
        <v>46047</v>
      </c>
    </row>
    <row r="102" spans="1:10" x14ac:dyDescent="0.25">
      <c r="A102" s="52" t="s">
        <v>110</v>
      </c>
      <c r="B102" s="53">
        <v>45970</v>
      </c>
      <c r="C102" s="52" t="s">
        <v>1011</v>
      </c>
      <c r="D102" s="52" t="s">
        <v>1018</v>
      </c>
      <c r="E102" s="52">
        <v>472</v>
      </c>
      <c r="F102" s="52">
        <v>79</v>
      </c>
      <c r="G102" s="52">
        <v>37288</v>
      </c>
      <c r="H102" s="52" t="s">
        <v>1030</v>
      </c>
      <c r="I102" s="52" t="s">
        <v>1028</v>
      </c>
      <c r="J102" s="53">
        <v>45980</v>
      </c>
    </row>
    <row r="103" spans="1:10" x14ac:dyDescent="0.25">
      <c r="A103" s="52" t="s">
        <v>111</v>
      </c>
      <c r="B103" s="53">
        <v>45847</v>
      </c>
      <c r="C103" s="52" t="s">
        <v>1012</v>
      </c>
      <c r="D103" s="52" t="s">
        <v>1023</v>
      </c>
      <c r="E103" s="52">
        <v>58</v>
      </c>
      <c r="F103" s="52">
        <v>128</v>
      </c>
      <c r="G103" s="52">
        <v>7424</v>
      </c>
      <c r="H103" s="52" t="s">
        <v>1025</v>
      </c>
      <c r="I103" s="52" t="s">
        <v>1028</v>
      </c>
      <c r="J103" s="53">
        <v>45854</v>
      </c>
    </row>
    <row r="104" spans="1:10" x14ac:dyDescent="0.25">
      <c r="A104" s="52" t="s">
        <v>112</v>
      </c>
      <c r="B104" s="53">
        <v>45739</v>
      </c>
      <c r="C104" s="52" t="s">
        <v>1011</v>
      </c>
      <c r="D104" s="52" t="s">
        <v>1022</v>
      </c>
      <c r="E104" s="52">
        <v>181</v>
      </c>
      <c r="F104" s="52">
        <v>419</v>
      </c>
      <c r="G104" s="52">
        <v>75839</v>
      </c>
      <c r="H104" s="52" t="s">
        <v>1025</v>
      </c>
      <c r="I104" s="52" t="s">
        <v>1028</v>
      </c>
      <c r="J104" s="53">
        <v>45750</v>
      </c>
    </row>
    <row r="105" spans="1:10" x14ac:dyDescent="0.25">
      <c r="A105" s="52" t="s">
        <v>113</v>
      </c>
      <c r="B105" s="53">
        <v>45662</v>
      </c>
      <c r="C105" s="52" t="s">
        <v>1013</v>
      </c>
      <c r="D105" s="52" t="s">
        <v>1016</v>
      </c>
      <c r="E105" s="52">
        <v>11</v>
      </c>
      <c r="F105" s="52">
        <v>183</v>
      </c>
      <c r="G105" s="52">
        <v>2013</v>
      </c>
      <c r="H105" s="52" t="s">
        <v>1027</v>
      </c>
      <c r="I105" s="52" t="s">
        <v>1028</v>
      </c>
      <c r="J105" s="53">
        <v>45674</v>
      </c>
    </row>
    <row r="106" spans="1:10" x14ac:dyDescent="0.25">
      <c r="A106" s="52" t="s">
        <v>114</v>
      </c>
      <c r="B106" s="53">
        <v>45880</v>
      </c>
      <c r="C106" s="52" t="s">
        <v>1011</v>
      </c>
      <c r="D106" s="52" t="s">
        <v>1019</v>
      </c>
      <c r="E106" s="52">
        <v>211</v>
      </c>
      <c r="F106" s="52">
        <v>1587</v>
      </c>
      <c r="G106" s="52">
        <v>334857</v>
      </c>
      <c r="H106" s="52" t="s">
        <v>1030</v>
      </c>
      <c r="I106" s="52" t="s">
        <v>1029</v>
      </c>
      <c r="J106" s="53" t="s">
        <v>1031</v>
      </c>
    </row>
    <row r="107" spans="1:10" x14ac:dyDescent="0.25">
      <c r="A107" s="52" t="s">
        <v>115</v>
      </c>
      <c r="B107" s="53">
        <v>46024</v>
      </c>
      <c r="C107" s="52" t="s">
        <v>1012</v>
      </c>
      <c r="D107" s="52" t="s">
        <v>1023</v>
      </c>
      <c r="E107" s="52">
        <v>92</v>
      </c>
      <c r="F107" s="52">
        <v>661</v>
      </c>
      <c r="G107" s="52">
        <v>60812</v>
      </c>
      <c r="H107" s="52" t="s">
        <v>1025</v>
      </c>
      <c r="I107" s="52" t="s">
        <v>1026</v>
      </c>
      <c r="J107" s="53" t="s">
        <v>1031</v>
      </c>
    </row>
    <row r="108" spans="1:10" x14ac:dyDescent="0.25">
      <c r="A108" s="52" t="s">
        <v>116</v>
      </c>
      <c r="B108" s="53">
        <v>45933</v>
      </c>
      <c r="C108" s="52" t="s">
        <v>1011</v>
      </c>
      <c r="D108" s="52" t="s">
        <v>1015</v>
      </c>
      <c r="E108" s="52">
        <v>116</v>
      </c>
      <c r="F108" s="52">
        <v>96</v>
      </c>
      <c r="G108" s="52">
        <v>11136</v>
      </c>
      <c r="H108" s="52" t="s">
        <v>1027</v>
      </c>
      <c r="I108" s="52" t="s">
        <v>1029</v>
      </c>
      <c r="J108" s="53" t="s">
        <v>1031</v>
      </c>
    </row>
    <row r="109" spans="1:10" x14ac:dyDescent="0.25">
      <c r="A109" s="52" t="s">
        <v>117</v>
      </c>
      <c r="B109" s="53">
        <v>45960</v>
      </c>
      <c r="C109" s="52" t="s">
        <v>1013</v>
      </c>
      <c r="D109" s="52" t="s">
        <v>1024</v>
      </c>
      <c r="E109" s="52">
        <v>214</v>
      </c>
      <c r="F109" s="52">
        <v>1501</v>
      </c>
      <c r="G109" s="52">
        <v>321214</v>
      </c>
      <c r="H109" s="52" t="s">
        <v>1030</v>
      </c>
      <c r="I109" s="52" t="s">
        <v>1029</v>
      </c>
      <c r="J109" s="53" t="s">
        <v>1031</v>
      </c>
    </row>
    <row r="110" spans="1:10" x14ac:dyDescent="0.25">
      <c r="A110" s="52" t="s">
        <v>118</v>
      </c>
      <c r="B110" s="53">
        <v>46016</v>
      </c>
      <c r="C110" s="52" t="s">
        <v>1010</v>
      </c>
      <c r="D110" s="52" t="s">
        <v>1021</v>
      </c>
      <c r="E110" s="52">
        <v>15</v>
      </c>
      <c r="F110" s="52">
        <v>1160</v>
      </c>
      <c r="G110" s="52">
        <v>17400</v>
      </c>
      <c r="H110" s="52" t="s">
        <v>1025</v>
      </c>
      <c r="I110" s="52" t="s">
        <v>1029</v>
      </c>
      <c r="J110" s="53" t="s">
        <v>1031</v>
      </c>
    </row>
    <row r="111" spans="1:10" x14ac:dyDescent="0.25">
      <c r="A111" s="52" t="s">
        <v>119</v>
      </c>
      <c r="B111" s="53">
        <v>45667</v>
      </c>
      <c r="C111" s="52" t="s">
        <v>1012</v>
      </c>
      <c r="D111" s="52" t="s">
        <v>1023</v>
      </c>
      <c r="E111" s="52">
        <v>62</v>
      </c>
      <c r="F111" s="52">
        <v>993</v>
      </c>
      <c r="G111" s="52">
        <v>61566</v>
      </c>
      <c r="H111" s="52" t="s">
        <v>1025</v>
      </c>
      <c r="I111" s="52" t="s">
        <v>1029</v>
      </c>
      <c r="J111" s="53" t="s">
        <v>1031</v>
      </c>
    </row>
    <row r="112" spans="1:10" x14ac:dyDescent="0.25">
      <c r="A112" s="52" t="s">
        <v>120</v>
      </c>
      <c r="B112" s="53">
        <v>45874</v>
      </c>
      <c r="C112" s="52" t="s">
        <v>1010</v>
      </c>
      <c r="D112" s="52" t="s">
        <v>1018</v>
      </c>
      <c r="E112" s="52">
        <v>345</v>
      </c>
      <c r="F112" s="52">
        <v>844</v>
      </c>
      <c r="G112" s="52">
        <v>291180</v>
      </c>
      <c r="H112" s="52" t="s">
        <v>1025</v>
      </c>
      <c r="I112" s="52" t="s">
        <v>1026</v>
      </c>
      <c r="J112" s="53" t="s">
        <v>1031</v>
      </c>
    </row>
    <row r="113" spans="1:10" x14ac:dyDescent="0.25">
      <c r="A113" s="52" t="s">
        <v>121</v>
      </c>
      <c r="B113" s="53">
        <v>46018</v>
      </c>
      <c r="C113" s="52" t="s">
        <v>1010</v>
      </c>
      <c r="D113" s="52" t="s">
        <v>1020</v>
      </c>
      <c r="E113" s="52">
        <v>454</v>
      </c>
      <c r="F113" s="52">
        <v>855</v>
      </c>
      <c r="G113" s="52">
        <v>388170</v>
      </c>
      <c r="H113" s="52" t="s">
        <v>1027</v>
      </c>
      <c r="I113" s="52" t="s">
        <v>1029</v>
      </c>
      <c r="J113" s="53" t="s">
        <v>1031</v>
      </c>
    </row>
    <row r="114" spans="1:10" x14ac:dyDescent="0.25">
      <c r="A114" s="52" t="s">
        <v>122</v>
      </c>
      <c r="B114" s="53">
        <v>46043</v>
      </c>
      <c r="C114" s="52" t="s">
        <v>1013</v>
      </c>
      <c r="D114" s="52" t="s">
        <v>1024</v>
      </c>
      <c r="E114" s="52">
        <v>399</v>
      </c>
      <c r="F114" s="52">
        <v>418</v>
      </c>
      <c r="G114" s="52">
        <v>166782</v>
      </c>
      <c r="H114" s="52" t="s">
        <v>1027</v>
      </c>
      <c r="I114" s="52" t="s">
        <v>1029</v>
      </c>
      <c r="J114" s="53" t="s">
        <v>1031</v>
      </c>
    </row>
    <row r="115" spans="1:10" x14ac:dyDescent="0.25">
      <c r="A115" s="52" t="s">
        <v>123</v>
      </c>
      <c r="B115" s="53">
        <v>46035</v>
      </c>
      <c r="C115" s="52" t="s">
        <v>1014</v>
      </c>
      <c r="D115" s="52" t="s">
        <v>1017</v>
      </c>
      <c r="E115" s="52">
        <v>420</v>
      </c>
      <c r="F115" s="52">
        <v>1361</v>
      </c>
      <c r="G115" s="52">
        <v>571620</v>
      </c>
      <c r="H115" s="52" t="s">
        <v>1025</v>
      </c>
      <c r="I115" s="52" t="s">
        <v>1029</v>
      </c>
      <c r="J115" s="53" t="s">
        <v>1031</v>
      </c>
    </row>
    <row r="116" spans="1:10" x14ac:dyDescent="0.25">
      <c r="A116" s="52" t="s">
        <v>124</v>
      </c>
      <c r="B116" s="53">
        <v>46008</v>
      </c>
      <c r="C116" s="52" t="s">
        <v>1012</v>
      </c>
      <c r="D116" s="52" t="s">
        <v>1021</v>
      </c>
      <c r="E116" s="52">
        <v>408</v>
      </c>
      <c r="F116" s="52">
        <v>300</v>
      </c>
      <c r="G116" s="52">
        <v>122400</v>
      </c>
      <c r="H116" s="52" t="s">
        <v>1025</v>
      </c>
      <c r="I116" s="52" t="s">
        <v>1029</v>
      </c>
      <c r="J116" s="53" t="s">
        <v>1031</v>
      </c>
    </row>
    <row r="117" spans="1:10" x14ac:dyDescent="0.25">
      <c r="A117" s="52" t="s">
        <v>125</v>
      </c>
      <c r="B117" s="53">
        <v>45763</v>
      </c>
      <c r="C117" s="52" t="s">
        <v>1011</v>
      </c>
      <c r="D117" s="52" t="s">
        <v>1020</v>
      </c>
      <c r="E117" s="52">
        <v>202</v>
      </c>
      <c r="F117" s="52">
        <v>504</v>
      </c>
      <c r="G117" s="52">
        <v>101808</v>
      </c>
      <c r="H117" s="52" t="s">
        <v>1030</v>
      </c>
      <c r="I117" s="52" t="s">
        <v>1026</v>
      </c>
      <c r="J117" s="53" t="s">
        <v>1031</v>
      </c>
    </row>
    <row r="118" spans="1:10" x14ac:dyDescent="0.25">
      <c r="A118" s="52" t="s">
        <v>126</v>
      </c>
      <c r="B118" s="53">
        <v>45859</v>
      </c>
      <c r="C118" s="52" t="s">
        <v>1011</v>
      </c>
      <c r="D118" s="52" t="s">
        <v>1018</v>
      </c>
      <c r="E118" s="52">
        <v>166</v>
      </c>
      <c r="F118" s="52">
        <v>1133</v>
      </c>
      <c r="G118" s="52">
        <v>188078</v>
      </c>
      <c r="H118" s="52" t="s">
        <v>1025</v>
      </c>
      <c r="I118" s="52" t="s">
        <v>1028</v>
      </c>
      <c r="J118" s="53">
        <v>45866</v>
      </c>
    </row>
    <row r="119" spans="1:10" x14ac:dyDescent="0.25">
      <c r="A119" s="52" t="s">
        <v>127</v>
      </c>
      <c r="B119" s="53">
        <v>45680</v>
      </c>
      <c r="C119" s="52" t="s">
        <v>1012</v>
      </c>
      <c r="D119" s="52" t="s">
        <v>1021</v>
      </c>
      <c r="E119" s="52">
        <v>219</v>
      </c>
      <c r="F119" s="52">
        <v>1358</v>
      </c>
      <c r="G119" s="52">
        <v>297402</v>
      </c>
      <c r="H119" s="52" t="s">
        <v>1025</v>
      </c>
      <c r="I119" s="52" t="s">
        <v>1029</v>
      </c>
      <c r="J119" s="53" t="s">
        <v>1031</v>
      </c>
    </row>
    <row r="120" spans="1:10" x14ac:dyDescent="0.25">
      <c r="A120" s="52" t="s">
        <v>128</v>
      </c>
      <c r="B120" s="53">
        <v>45785</v>
      </c>
      <c r="C120" s="52" t="s">
        <v>1010</v>
      </c>
      <c r="D120" s="52" t="s">
        <v>1021</v>
      </c>
      <c r="E120" s="52">
        <v>155</v>
      </c>
      <c r="F120" s="52">
        <v>86</v>
      </c>
      <c r="G120" s="52">
        <v>13330</v>
      </c>
      <c r="H120" s="52" t="s">
        <v>1030</v>
      </c>
      <c r="I120" s="52" t="s">
        <v>1028</v>
      </c>
      <c r="J120" s="53">
        <v>45792</v>
      </c>
    </row>
    <row r="121" spans="1:10" x14ac:dyDescent="0.25">
      <c r="A121" s="52" t="s">
        <v>129</v>
      </c>
      <c r="B121" s="53">
        <v>46044</v>
      </c>
      <c r="C121" s="52" t="s">
        <v>1012</v>
      </c>
      <c r="D121" s="52" t="s">
        <v>1016</v>
      </c>
      <c r="E121" s="52">
        <v>359</v>
      </c>
      <c r="F121" s="52">
        <v>1972</v>
      </c>
      <c r="G121" s="52">
        <v>707948</v>
      </c>
      <c r="H121" s="52" t="s">
        <v>1030</v>
      </c>
      <c r="I121" s="52" t="s">
        <v>1029</v>
      </c>
      <c r="J121" s="53" t="s">
        <v>1031</v>
      </c>
    </row>
    <row r="122" spans="1:10" x14ac:dyDescent="0.25">
      <c r="A122" s="52" t="s">
        <v>130</v>
      </c>
      <c r="B122" s="53">
        <v>45760</v>
      </c>
      <c r="C122" s="52" t="s">
        <v>1011</v>
      </c>
      <c r="D122" s="52" t="s">
        <v>1018</v>
      </c>
      <c r="E122" s="52">
        <v>448</v>
      </c>
      <c r="F122" s="52">
        <v>1094</v>
      </c>
      <c r="G122" s="52">
        <v>490112</v>
      </c>
      <c r="H122" s="52" t="s">
        <v>1025</v>
      </c>
      <c r="I122" s="52" t="s">
        <v>1028</v>
      </c>
      <c r="J122" s="53">
        <v>45769</v>
      </c>
    </row>
    <row r="123" spans="1:10" x14ac:dyDescent="0.25">
      <c r="A123" s="52" t="s">
        <v>131</v>
      </c>
      <c r="B123" s="53">
        <v>46007</v>
      </c>
      <c r="C123" s="52" t="s">
        <v>1014</v>
      </c>
      <c r="D123" s="52" t="s">
        <v>1015</v>
      </c>
      <c r="E123" s="52">
        <v>305</v>
      </c>
      <c r="F123" s="52">
        <v>932</v>
      </c>
      <c r="G123" s="52">
        <v>284260</v>
      </c>
      <c r="H123" s="52" t="s">
        <v>1025</v>
      </c>
      <c r="I123" s="52" t="s">
        <v>1026</v>
      </c>
      <c r="J123" s="53" t="s">
        <v>1031</v>
      </c>
    </row>
    <row r="124" spans="1:10" x14ac:dyDescent="0.25">
      <c r="A124" s="52" t="s">
        <v>132</v>
      </c>
      <c r="B124" s="53">
        <v>45835</v>
      </c>
      <c r="C124" s="52" t="s">
        <v>1014</v>
      </c>
      <c r="D124" s="52" t="s">
        <v>1018</v>
      </c>
      <c r="E124" s="52">
        <v>339</v>
      </c>
      <c r="F124" s="52">
        <v>1470</v>
      </c>
      <c r="G124" s="52">
        <v>498330</v>
      </c>
      <c r="H124" s="52" t="s">
        <v>1027</v>
      </c>
      <c r="I124" s="52" t="s">
        <v>1026</v>
      </c>
      <c r="J124" s="53" t="s">
        <v>1031</v>
      </c>
    </row>
    <row r="125" spans="1:10" x14ac:dyDescent="0.25">
      <c r="A125" s="52" t="s">
        <v>133</v>
      </c>
      <c r="B125" s="53">
        <v>45984</v>
      </c>
      <c r="C125" s="52" t="s">
        <v>1012</v>
      </c>
      <c r="D125" s="52" t="s">
        <v>1024</v>
      </c>
      <c r="E125" s="52">
        <v>345</v>
      </c>
      <c r="F125" s="52">
        <v>119</v>
      </c>
      <c r="G125" s="52">
        <v>41055</v>
      </c>
      <c r="H125" s="52" t="s">
        <v>1025</v>
      </c>
      <c r="I125" s="52" t="s">
        <v>1028</v>
      </c>
      <c r="J125" s="53">
        <v>45999</v>
      </c>
    </row>
    <row r="126" spans="1:10" x14ac:dyDescent="0.25">
      <c r="A126" s="52" t="s">
        <v>134</v>
      </c>
      <c r="B126" s="53">
        <v>45835</v>
      </c>
      <c r="C126" s="52" t="s">
        <v>1013</v>
      </c>
      <c r="D126" s="52" t="s">
        <v>1015</v>
      </c>
      <c r="E126" s="52">
        <v>174</v>
      </c>
      <c r="F126" s="52">
        <v>457</v>
      </c>
      <c r="G126" s="52">
        <v>79518</v>
      </c>
      <c r="H126" s="52" t="s">
        <v>1025</v>
      </c>
      <c r="I126" s="52" t="s">
        <v>1028</v>
      </c>
      <c r="J126" s="53">
        <v>45840</v>
      </c>
    </row>
    <row r="127" spans="1:10" x14ac:dyDescent="0.25">
      <c r="A127" s="52" t="s">
        <v>135</v>
      </c>
      <c r="B127" s="53">
        <v>45667</v>
      </c>
      <c r="C127" s="52" t="s">
        <v>1014</v>
      </c>
      <c r="D127" s="52" t="s">
        <v>1020</v>
      </c>
      <c r="E127" s="52">
        <v>30</v>
      </c>
      <c r="F127" s="52">
        <v>233</v>
      </c>
      <c r="G127" s="52">
        <v>6990</v>
      </c>
      <c r="H127" s="52" t="s">
        <v>1025</v>
      </c>
      <c r="I127" s="52" t="s">
        <v>1029</v>
      </c>
      <c r="J127" s="53" t="s">
        <v>1031</v>
      </c>
    </row>
    <row r="128" spans="1:10" x14ac:dyDescent="0.25">
      <c r="A128" s="52" t="s">
        <v>136</v>
      </c>
      <c r="B128" s="53">
        <v>45920</v>
      </c>
      <c r="C128" s="52" t="s">
        <v>1012</v>
      </c>
      <c r="D128" s="52" t="s">
        <v>1023</v>
      </c>
      <c r="E128" s="52">
        <v>105</v>
      </c>
      <c r="F128" s="52">
        <v>470</v>
      </c>
      <c r="G128" s="52">
        <v>49350</v>
      </c>
      <c r="H128" s="52" t="s">
        <v>1030</v>
      </c>
      <c r="I128" s="52" t="s">
        <v>1026</v>
      </c>
      <c r="J128" s="53" t="s">
        <v>1031</v>
      </c>
    </row>
    <row r="129" spans="1:10" x14ac:dyDescent="0.25">
      <c r="A129" s="52" t="s">
        <v>137</v>
      </c>
      <c r="B129" s="53">
        <v>45861</v>
      </c>
      <c r="C129" s="52" t="s">
        <v>1012</v>
      </c>
      <c r="D129" s="52" t="s">
        <v>1016</v>
      </c>
      <c r="E129" s="52">
        <v>393</v>
      </c>
      <c r="F129" s="52">
        <v>1138</v>
      </c>
      <c r="G129" s="52">
        <v>447234</v>
      </c>
      <c r="H129" s="52" t="s">
        <v>1025</v>
      </c>
      <c r="I129" s="52" t="s">
        <v>1026</v>
      </c>
      <c r="J129" s="53" t="s">
        <v>1031</v>
      </c>
    </row>
    <row r="130" spans="1:10" x14ac:dyDescent="0.25">
      <c r="A130" s="52" t="s">
        <v>138</v>
      </c>
      <c r="B130" s="53">
        <v>46048</v>
      </c>
      <c r="C130" s="52" t="s">
        <v>1012</v>
      </c>
      <c r="D130" s="52" t="s">
        <v>1024</v>
      </c>
      <c r="E130" s="52">
        <v>130</v>
      </c>
      <c r="F130" s="52">
        <v>1961</v>
      </c>
      <c r="G130" s="52">
        <v>254930</v>
      </c>
      <c r="H130" s="52" t="s">
        <v>1030</v>
      </c>
      <c r="I130" s="52" t="s">
        <v>1029</v>
      </c>
      <c r="J130" s="53" t="s">
        <v>1031</v>
      </c>
    </row>
    <row r="131" spans="1:10" x14ac:dyDescent="0.25">
      <c r="A131" s="52" t="s">
        <v>139</v>
      </c>
      <c r="B131" s="53">
        <v>45697</v>
      </c>
      <c r="C131" s="52" t="s">
        <v>1014</v>
      </c>
      <c r="D131" s="52" t="s">
        <v>1015</v>
      </c>
      <c r="E131" s="52">
        <v>44</v>
      </c>
      <c r="F131" s="52">
        <v>1183</v>
      </c>
      <c r="G131" s="52">
        <v>52052</v>
      </c>
      <c r="H131" s="52" t="s">
        <v>1027</v>
      </c>
      <c r="I131" s="52" t="s">
        <v>1026</v>
      </c>
      <c r="J131" s="53" t="s">
        <v>1031</v>
      </c>
    </row>
    <row r="132" spans="1:10" x14ac:dyDescent="0.25">
      <c r="A132" s="52" t="s">
        <v>140</v>
      </c>
      <c r="B132" s="53">
        <v>45900</v>
      </c>
      <c r="C132" s="52" t="s">
        <v>1012</v>
      </c>
      <c r="D132" s="52" t="s">
        <v>1023</v>
      </c>
      <c r="E132" s="52">
        <v>123</v>
      </c>
      <c r="F132" s="52">
        <v>1847</v>
      </c>
      <c r="G132" s="52">
        <v>227181</v>
      </c>
      <c r="H132" s="52" t="s">
        <v>1027</v>
      </c>
      <c r="I132" s="52" t="s">
        <v>1029</v>
      </c>
      <c r="J132" s="53" t="s">
        <v>1031</v>
      </c>
    </row>
    <row r="133" spans="1:10" x14ac:dyDescent="0.25">
      <c r="A133" s="52" t="s">
        <v>141</v>
      </c>
      <c r="B133" s="53">
        <v>46040</v>
      </c>
      <c r="C133" s="52" t="s">
        <v>1011</v>
      </c>
      <c r="D133" s="52" t="s">
        <v>1019</v>
      </c>
      <c r="E133" s="52">
        <v>487</v>
      </c>
      <c r="F133" s="52">
        <v>302</v>
      </c>
      <c r="G133" s="52">
        <v>147074</v>
      </c>
      <c r="H133" s="52" t="s">
        <v>1030</v>
      </c>
      <c r="I133" s="52" t="s">
        <v>1026</v>
      </c>
      <c r="J133" s="53" t="s">
        <v>1031</v>
      </c>
    </row>
    <row r="134" spans="1:10" x14ac:dyDescent="0.25">
      <c r="A134" s="52" t="s">
        <v>142</v>
      </c>
      <c r="B134" s="53">
        <v>45698</v>
      </c>
      <c r="C134" s="52" t="s">
        <v>1014</v>
      </c>
      <c r="D134" s="52" t="s">
        <v>1023</v>
      </c>
      <c r="E134" s="52">
        <v>466</v>
      </c>
      <c r="F134" s="52">
        <v>1921</v>
      </c>
      <c r="G134" s="52">
        <v>895186</v>
      </c>
      <c r="H134" s="52" t="s">
        <v>1030</v>
      </c>
      <c r="I134" s="52" t="s">
        <v>1028</v>
      </c>
      <c r="J134" s="53">
        <v>45708</v>
      </c>
    </row>
    <row r="135" spans="1:10" x14ac:dyDescent="0.25">
      <c r="A135" s="52" t="s">
        <v>143</v>
      </c>
      <c r="B135" s="53">
        <v>45772</v>
      </c>
      <c r="C135" s="52" t="s">
        <v>1013</v>
      </c>
      <c r="D135" s="52" t="s">
        <v>1022</v>
      </c>
      <c r="E135" s="52">
        <v>369</v>
      </c>
      <c r="F135" s="52">
        <v>1757</v>
      </c>
      <c r="G135" s="52">
        <v>648333</v>
      </c>
      <c r="H135" s="52" t="s">
        <v>1030</v>
      </c>
      <c r="I135" s="52" t="s">
        <v>1026</v>
      </c>
      <c r="J135" s="53" t="s">
        <v>1031</v>
      </c>
    </row>
    <row r="136" spans="1:10" x14ac:dyDescent="0.25">
      <c r="A136" s="52" t="s">
        <v>144</v>
      </c>
      <c r="B136" s="53">
        <v>45850</v>
      </c>
      <c r="C136" s="52" t="s">
        <v>1010</v>
      </c>
      <c r="D136" s="52" t="s">
        <v>1018</v>
      </c>
      <c r="E136" s="52">
        <v>452</v>
      </c>
      <c r="F136" s="52">
        <v>1001</v>
      </c>
      <c r="G136" s="52">
        <v>452452</v>
      </c>
      <c r="H136" s="52" t="s">
        <v>1030</v>
      </c>
      <c r="I136" s="52" t="s">
        <v>1029</v>
      </c>
      <c r="J136" s="53" t="s">
        <v>1031</v>
      </c>
    </row>
    <row r="137" spans="1:10" x14ac:dyDescent="0.25">
      <c r="A137" s="52" t="s">
        <v>145</v>
      </c>
      <c r="B137" s="53">
        <v>45973</v>
      </c>
      <c r="C137" s="52" t="s">
        <v>1011</v>
      </c>
      <c r="D137" s="52" t="s">
        <v>1018</v>
      </c>
      <c r="E137" s="52">
        <v>404</v>
      </c>
      <c r="F137" s="52">
        <v>223</v>
      </c>
      <c r="G137" s="52">
        <v>90092</v>
      </c>
      <c r="H137" s="52" t="s">
        <v>1030</v>
      </c>
      <c r="I137" s="52" t="s">
        <v>1026</v>
      </c>
      <c r="J137" s="53" t="s">
        <v>1031</v>
      </c>
    </row>
    <row r="138" spans="1:10" x14ac:dyDescent="0.25">
      <c r="A138" s="52" t="s">
        <v>146</v>
      </c>
      <c r="B138" s="53">
        <v>45667</v>
      </c>
      <c r="C138" s="52" t="s">
        <v>1010</v>
      </c>
      <c r="D138" s="52" t="s">
        <v>1020</v>
      </c>
      <c r="E138" s="52">
        <v>353</v>
      </c>
      <c r="F138" s="52">
        <v>1693</v>
      </c>
      <c r="G138" s="52">
        <v>597629</v>
      </c>
      <c r="H138" s="52" t="s">
        <v>1027</v>
      </c>
      <c r="I138" s="52" t="s">
        <v>1028</v>
      </c>
      <c r="J138" s="53">
        <v>45682</v>
      </c>
    </row>
    <row r="139" spans="1:10" x14ac:dyDescent="0.25">
      <c r="A139" s="52" t="s">
        <v>147</v>
      </c>
      <c r="B139" s="53">
        <v>45667</v>
      </c>
      <c r="C139" s="52" t="s">
        <v>1011</v>
      </c>
      <c r="D139" s="52" t="s">
        <v>1016</v>
      </c>
      <c r="E139" s="52">
        <v>68</v>
      </c>
      <c r="F139" s="52">
        <v>1448</v>
      </c>
      <c r="G139" s="52">
        <v>98464</v>
      </c>
      <c r="H139" s="52" t="s">
        <v>1030</v>
      </c>
      <c r="I139" s="52" t="s">
        <v>1028</v>
      </c>
      <c r="J139" s="53">
        <v>45681</v>
      </c>
    </row>
    <row r="140" spans="1:10" x14ac:dyDescent="0.25">
      <c r="A140" s="52" t="s">
        <v>148</v>
      </c>
      <c r="B140" s="53">
        <v>46015</v>
      </c>
      <c r="C140" s="52" t="s">
        <v>1010</v>
      </c>
      <c r="D140" s="52" t="s">
        <v>1024</v>
      </c>
      <c r="E140" s="52">
        <v>229</v>
      </c>
      <c r="F140" s="52">
        <v>1118</v>
      </c>
      <c r="G140" s="52">
        <v>256022</v>
      </c>
      <c r="H140" s="52" t="s">
        <v>1030</v>
      </c>
      <c r="I140" s="52" t="s">
        <v>1028</v>
      </c>
      <c r="J140" s="53">
        <v>46030</v>
      </c>
    </row>
    <row r="141" spans="1:10" x14ac:dyDescent="0.25">
      <c r="A141" s="52" t="s">
        <v>149</v>
      </c>
      <c r="B141" s="53">
        <v>45835</v>
      </c>
      <c r="C141" s="52" t="s">
        <v>1013</v>
      </c>
      <c r="D141" s="52" t="s">
        <v>1020</v>
      </c>
      <c r="E141" s="52">
        <v>225</v>
      </c>
      <c r="F141" s="52">
        <v>1752</v>
      </c>
      <c r="G141" s="52">
        <v>394200</v>
      </c>
      <c r="H141" s="52" t="s">
        <v>1030</v>
      </c>
      <c r="I141" s="52" t="s">
        <v>1026</v>
      </c>
      <c r="J141" s="53" t="s">
        <v>1031</v>
      </c>
    </row>
    <row r="142" spans="1:10" x14ac:dyDescent="0.25">
      <c r="A142" s="52" t="s">
        <v>150</v>
      </c>
      <c r="B142" s="53">
        <v>45892</v>
      </c>
      <c r="C142" s="52" t="s">
        <v>1011</v>
      </c>
      <c r="D142" s="52" t="s">
        <v>1019</v>
      </c>
      <c r="E142" s="52">
        <v>98</v>
      </c>
      <c r="F142" s="52">
        <v>76</v>
      </c>
      <c r="G142" s="52">
        <v>7448</v>
      </c>
      <c r="H142" s="52" t="s">
        <v>1025</v>
      </c>
      <c r="I142" s="52" t="s">
        <v>1028</v>
      </c>
      <c r="J142" s="53">
        <v>45900</v>
      </c>
    </row>
    <row r="143" spans="1:10" x14ac:dyDescent="0.25">
      <c r="A143" s="52" t="s">
        <v>151</v>
      </c>
      <c r="B143" s="53">
        <v>45797</v>
      </c>
      <c r="C143" s="52" t="s">
        <v>1014</v>
      </c>
      <c r="D143" s="52" t="s">
        <v>1019</v>
      </c>
      <c r="E143" s="52">
        <v>470</v>
      </c>
      <c r="F143" s="52">
        <v>671</v>
      </c>
      <c r="G143" s="52">
        <v>315370</v>
      </c>
      <c r="H143" s="52" t="s">
        <v>1030</v>
      </c>
      <c r="I143" s="52" t="s">
        <v>1029</v>
      </c>
      <c r="J143" s="53" t="s">
        <v>1031</v>
      </c>
    </row>
    <row r="144" spans="1:10" x14ac:dyDescent="0.25">
      <c r="A144" s="52" t="s">
        <v>152</v>
      </c>
      <c r="B144" s="53">
        <v>45682</v>
      </c>
      <c r="C144" s="52" t="s">
        <v>1010</v>
      </c>
      <c r="D144" s="52" t="s">
        <v>1024</v>
      </c>
      <c r="E144" s="52">
        <v>120</v>
      </c>
      <c r="F144" s="52">
        <v>1473</v>
      </c>
      <c r="G144" s="52">
        <v>176760</v>
      </c>
      <c r="H144" s="52" t="s">
        <v>1027</v>
      </c>
      <c r="I144" s="52" t="s">
        <v>1026</v>
      </c>
      <c r="J144" s="53" t="s">
        <v>1031</v>
      </c>
    </row>
    <row r="145" spans="1:10" x14ac:dyDescent="0.25">
      <c r="A145" s="52" t="s">
        <v>153</v>
      </c>
      <c r="B145" s="53">
        <v>45807</v>
      </c>
      <c r="C145" s="52" t="s">
        <v>1012</v>
      </c>
      <c r="D145" s="52" t="s">
        <v>1020</v>
      </c>
      <c r="E145" s="52">
        <v>157</v>
      </c>
      <c r="F145" s="52">
        <v>1187</v>
      </c>
      <c r="G145" s="52">
        <v>186359</v>
      </c>
      <c r="H145" s="52" t="s">
        <v>1030</v>
      </c>
      <c r="I145" s="52" t="s">
        <v>1028</v>
      </c>
      <c r="J145" s="53">
        <v>45821</v>
      </c>
    </row>
    <row r="146" spans="1:10" x14ac:dyDescent="0.25">
      <c r="A146" s="52" t="s">
        <v>154</v>
      </c>
      <c r="B146" s="53">
        <v>45810</v>
      </c>
      <c r="C146" s="52" t="s">
        <v>1012</v>
      </c>
      <c r="D146" s="52" t="s">
        <v>1021</v>
      </c>
      <c r="E146" s="52">
        <v>364</v>
      </c>
      <c r="F146" s="52">
        <v>1353</v>
      </c>
      <c r="G146" s="52">
        <v>492492</v>
      </c>
      <c r="H146" s="52" t="s">
        <v>1027</v>
      </c>
      <c r="I146" s="52" t="s">
        <v>1029</v>
      </c>
      <c r="J146" s="53" t="s">
        <v>1031</v>
      </c>
    </row>
    <row r="147" spans="1:10" x14ac:dyDescent="0.25">
      <c r="A147" s="52" t="s">
        <v>155</v>
      </c>
      <c r="B147" s="53">
        <v>45683</v>
      </c>
      <c r="C147" s="52" t="s">
        <v>1013</v>
      </c>
      <c r="D147" s="52" t="s">
        <v>1016</v>
      </c>
      <c r="E147" s="52">
        <v>32</v>
      </c>
      <c r="F147" s="52">
        <v>1867</v>
      </c>
      <c r="G147" s="52">
        <v>59744</v>
      </c>
      <c r="H147" s="52" t="s">
        <v>1027</v>
      </c>
      <c r="I147" s="52" t="s">
        <v>1026</v>
      </c>
      <c r="J147" s="53" t="s">
        <v>1031</v>
      </c>
    </row>
    <row r="148" spans="1:10" x14ac:dyDescent="0.25">
      <c r="A148" s="52" t="s">
        <v>156</v>
      </c>
      <c r="B148" s="53">
        <v>45718</v>
      </c>
      <c r="C148" s="52" t="s">
        <v>1013</v>
      </c>
      <c r="D148" s="52" t="s">
        <v>1018</v>
      </c>
      <c r="E148" s="52">
        <v>339</v>
      </c>
      <c r="F148" s="52">
        <v>548</v>
      </c>
      <c r="G148" s="52">
        <v>185772</v>
      </c>
      <c r="H148" s="52" t="s">
        <v>1027</v>
      </c>
      <c r="I148" s="52" t="s">
        <v>1028</v>
      </c>
      <c r="J148" s="53">
        <v>45728</v>
      </c>
    </row>
    <row r="149" spans="1:10" x14ac:dyDescent="0.25">
      <c r="A149" s="52" t="s">
        <v>157</v>
      </c>
      <c r="B149" s="53">
        <v>45747</v>
      </c>
      <c r="C149" s="52" t="s">
        <v>1010</v>
      </c>
      <c r="D149" s="52" t="s">
        <v>1020</v>
      </c>
      <c r="E149" s="52">
        <v>72</v>
      </c>
      <c r="F149" s="52">
        <v>1400</v>
      </c>
      <c r="G149" s="52">
        <v>100800</v>
      </c>
      <c r="H149" s="52" t="s">
        <v>1030</v>
      </c>
      <c r="I149" s="52" t="s">
        <v>1029</v>
      </c>
      <c r="J149" s="53" t="s">
        <v>1031</v>
      </c>
    </row>
    <row r="150" spans="1:10" x14ac:dyDescent="0.25">
      <c r="A150" s="52" t="s">
        <v>158</v>
      </c>
      <c r="B150" s="53">
        <v>46028</v>
      </c>
      <c r="C150" s="52" t="s">
        <v>1011</v>
      </c>
      <c r="D150" s="52" t="s">
        <v>1022</v>
      </c>
      <c r="E150" s="52">
        <v>42</v>
      </c>
      <c r="F150" s="52">
        <v>1180</v>
      </c>
      <c r="G150" s="52">
        <v>49560</v>
      </c>
      <c r="H150" s="52" t="s">
        <v>1027</v>
      </c>
      <c r="I150" s="52" t="s">
        <v>1029</v>
      </c>
      <c r="J150" s="53" t="s">
        <v>1031</v>
      </c>
    </row>
    <row r="151" spans="1:10" x14ac:dyDescent="0.25">
      <c r="A151" s="52" t="s">
        <v>159</v>
      </c>
      <c r="B151" s="53">
        <v>45870</v>
      </c>
      <c r="C151" s="52" t="s">
        <v>1011</v>
      </c>
      <c r="D151" s="52" t="s">
        <v>1020</v>
      </c>
      <c r="E151" s="52">
        <v>40</v>
      </c>
      <c r="F151" s="52">
        <v>619</v>
      </c>
      <c r="G151" s="52">
        <v>24760</v>
      </c>
      <c r="H151" s="52" t="s">
        <v>1027</v>
      </c>
      <c r="I151" s="52" t="s">
        <v>1026</v>
      </c>
      <c r="J151" s="53" t="s">
        <v>1031</v>
      </c>
    </row>
    <row r="152" spans="1:10" x14ac:dyDescent="0.25">
      <c r="A152" s="52" t="s">
        <v>160</v>
      </c>
      <c r="B152" s="53">
        <v>45862</v>
      </c>
      <c r="C152" s="52" t="s">
        <v>1012</v>
      </c>
      <c r="D152" s="52" t="s">
        <v>1024</v>
      </c>
      <c r="E152" s="52">
        <v>362</v>
      </c>
      <c r="F152" s="52">
        <v>831</v>
      </c>
      <c r="G152" s="52">
        <v>300822</v>
      </c>
      <c r="H152" s="52" t="s">
        <v>1027</v>
      </c>
      <c r="I152" s="52" t="s">
        <v>1028</v>
      </c>
      <c r="J152" s="53">
        <v>45869</v>
      </c>
    </row>
    <row r="153" spans="1:10" x14ac:dyDescent="0.25">
      <c r="A153" s="52" t="s">
        <v>161</v>
      </c>
      <c r="B153" s="53">
        <v>45687</v>
      </c>
      <c r="C153" s="52" t="s">
        <v>1014</v>
      </c>
      <c r="D153" s="52" t="s">
        <v>1018</v>
      </c>
      <c r="E153" s="52">
        <v>241</v>
      </c>
      <c r="F153" s="52">
        <v>1091</v>
      </c>
      <c r="G153" s="52">
        <v>262931</v>
      </c>
      <c r="H153" s="52" t="s">
        <v>1025</v>
      </c>
      <c r="I153" s="52" t="s">
        <v>1028</v>
      </c>
      <c r="J153" s="53">
        <v>45702</v>
      </c>
    </row>
    <row r="154" spans="1:10" x14ac:dyDescent="0.25">
      <c r="A154" s="52" t="s">
        <v>162</v>
      </c>
      <c r="B154" s="53">
        <v>45831</v>
      </c>
      <c r="C154" s="52" t="s">
        <v>1012</v>
      </c>
      <c r="D154" s="52" t="s">
        <v>1015</v>
      </c>
      <c r="E154" s="52">
        <v>476</v>
      </c>
      <c r="F154" s="52">
        <v>1255</v>
      </c>
      <c r="G154" s="52">
        <v>597380</v>
      </c>
      <c r="H154" s="52" t="s">
        <v>1025</v>
      </c>
      <c r="I154" s="52" t="s">
        <v>1026</v>
      </c>
      <c r="J154" s="53" t="s">
        <v>1031</v>
      </c>
    </row>
    <row r="155" spans="1:10" x14ac:dyDescent="0.25">
      <c r="A155" s="52" t="s">
        <v>163</v>
      </c>
      <c r="B155" s="53">
        <v>45784</v>
      </c>
      <c r="C155" s="52" t="s">
        <v>1012</v>
      </c>
      <c r="D155" s="52" t="s">
        <v>1024</v>
      </c>
      <c r="E155" s="52">
        <v>475</v>
      </c>
      <c r="F155" s="52">
        <v>1677</v>
      </c>
      <c r="G155" s="52">
        <v>796575</v>
      </c>
      <c r="H155" s="52" t="s">
        <v>1027</v>
      </c>
      <c r="I155" s="52" t="s">
        <v>1029</v>
      </c>
      <c r="J155" s="53" t="s">
        <v>1031</v>
      </c>
    </row>
    <row r="156" spans="1:10" x14ac:dyDescent="0.25">
      <c r="A156" s="52" t="s">
        <v>164</v>
      </c>
      <c r="B156" s="53">
        <v>45667</v>
      </c>
      <c r="C156" s="52" t="s">
        <v>1011</v>
      </c>
      <c r="D156" s="52" t="s">
        <v>1019</v>
      </c>
      <c r="E156" s="52">
        <v>364</v>
      </c>
      <c r="F156" s="52">
        <v>689</v>
      </c>
      <c r="G156" s="52">
        <v>250796</v>
      </c>
      <c r="H156" s="52" t="s">
        <v>1027</v>
      </c>
      <c r="I156" s="52" t="s">
        <v>1026</v>
      </c>
      <c r="J156" s="53" t="s">
        <v>1031</v>
      </c>
    </row>
    <row r="157" spans="1:10" x14ac:dyDescent="0.25">
      <c r="A157" s="52" t="s">
        <v>165</v>
      </c>
      <c r="B157" s="53">
        <v>45940</v>
      </c>
      <c r="C157" s="52" t="s">
        <v>1010</v>
      </c>
      <c r="D157" s="52" t="s">
        <v>1017</v>
      </c>
      <c r="E157" s="52">
        <v>77</v>
      </c>
      <c r="F157" s="52">
        <v>1980</v>
      </c>
      <c r="G157" s="52">
        <v>152460</v>
      </c>
      <c r="H157" s="52" t="s">
        <v>1025</v>
      </c>
      <c r="I157" s="52" t="s">
        <v>1029</v>
      </c>
      <c r="J157" s="53" t="s">
        <v>1031</v>
      </c>
    </row>
    <row r="158" spans="1:10" x14ac:dyDescent="0.25">
      <c r="A158" s="52" t="s">
        <v>166</v>
      </c>
      <c r="B158" s="53">
        <v>46040</v>
      </c>
      <c r="C158" s="52" t="s">
        <v>1014</v>
      </c>
      <c r="D158" s="52" t="s">
        <v>1015</v>
      </c>
      <c r="E158" s="52">
        <v>261</v>
      </c>
      <c r="F158" s="52">
        <v>1830</v>
      </c>
      <c r="G158" s="52">
        <v>477630</v>
      </c>
      <c r="H158" s="52" t="s">
        <v>1030</v>
      </c>
      <c r="I158" s="52" t="s">
        <v>1026</v>
      </c>
      <c r="J158" s="53" t="s">
        <v>1031</v>
      </c>
    </row>
    <row r="159" spans="1:10" x14ac:dyDescent="0.25">
      <c r="A159" s="52" t="s">
        <v>167</v>
      </c>
      <c r="B159" s="53">
        <v>45864</v>
      </c>
      <c r="C159" s="52" t="s">
        <v>1010</v>
      </c>
      <c r="D159" s="52" t="s">
        <v>1019</v>
      </c>
      <c r="E159" s="52">
        <v>326</v>
      </c>
      <c r="F159" s="52">
        <v>28</v>
      </c>
      <c r="G159" s="52">
        <v>9128</v>
      </c>
      <c r="H159" s="52" t="s">
        <v>1027</v>
      </c>
      <c r="I159" s="52" t="s">
        <v>1028</v>
      </c>
      <c r="J159" s="53">
        <v>45870</v>
      </c>
    </row>
    <row r="160" spans="1:10" x14ac:dyDescent="0.25">
      <c r="A160" s="52" t="s">
        <v>168</v>
      </c>
      <c r="B160" s="53">
        <v>45899</v>
      </c>
      <c r="C160" s="52" t="s">
        <v>1011</v>
      </c>
      <c r="D160" s="52" t="s">
        <v>1021</v>
      </c>
      <c r="E160" s="52">
        <v>389</v>
      </c>
      <c r="F160" s="52">
        <v>652</v>
      </c>
      <c r="G160" s="52">
        <v>253628</v>
      </c>
      <c r="H160" s="52" t="s">
        <v>1027</v>
      </c>
      <c r="I160" s="52" t="s">
        <v>1028</v>
      </c>
      <c r="J160" s="53">
        <v>45908</v>
      </c>
    </row>
    <row r="161" spans="1:10" x14ac:dyDescent="0.25">
      <c r="A161" s="52" t="s">
        <v>169</v>
      </c>
      <c r="B161" s="53">
        <v>46012</v>
      </c>
      <c r="C161" s="52" t="s">
        <v>1010</v>
      </c>
      <c r="D161" s="52" t="s">
        <v>1016</v>
      </c>
      <c r="E161" s="52">
        <v>487</v>
      </c>
      <c r="F161" s="52">
        <v>308</v>
      </c>
      <c r="G161" s="52">
        <v>149996</v>
      </c>
      <c r="H161" s="52" t="s">
        <v>1027</v>
      </c>
      <c r="I161" s="52" t="s">
        <v>1026</v>
      </c>
      <c r="J161" s="53" t="s">
        <v>1031</v>
      </c>
    </row>
    <row r="162" spans="1:10" x14ac:dyDescent="0.25">
      <c r="A162" s="52" t="s">
        <v>170</v>
      </c>
      <c r="B162" s="53">
        <v>45865</v>
      </c>
      <c r="C162" s="52" t="s">
        <v>1012</v>
      </c>
      <c r="D162" s="52" t="s">
        <v>1017</v>
      </c>
      <c r="E162" s="52">
        <v>32</v>
      </c>
      <c r="F162" s="52">
        <v>1900</v>
      </c>
      <c r="G162" s="52">
        <v>60800</v>
      </c>
      <c r="H162" s="52" t="s">
        <v>1027</v>
      </c>
      <c r="I162" s="52" t="s">
        <v>1028</v>
      </c>
      <c r="J162" s="53">
        <v>45871</v>
      </c>
    </row>
    <row r="163" spans="1:10" x14ac:dyDescent="0.25">
      <c r="A163" s="52" t="s">
        <v>171</v>
      </c>
      <c r="B163" s="53">
        <v>45696</v>
      </c>
      <c r="C163" s="52" t="s">
        <v>1013</v>
      </c>
      <c r="D163" s="52" t="s">
        <v>1015</v>
      </c>
      <c r="E163" s="52">
        <v>329</v>
      </c>
      <c r="F163" s="52">
        <v>273</v>
      </c>
      <c r="G163" s="52">
        <v>89817</v>
      </c>
      <c r="H163" s="52" t="s">
        <v>1030</v>
      </c>
      <c r="I163" s="52" t="s">
        <v>1028</v>
      </c>
      <c r="J163" s="53">
        <v>45708</v>
      </c>
    </row>
    <row r="164" spans="1:10" x14ac:dyDescent="0.25">
      <c r="A164" s="52" t="s">
        <v>172</v>
      </c>
      <c r="B164" s="53">
        <v>45923</v>
      </c>
      <c r="C164" s="52" t="s">
        <v>1010</v>
      </c>
      <c r="D164" s="52" t="s">
        <v>1024</v>
      </c>
      <c r="E164" s="52">
        <v>47</v>
      </c>
      <c r="F164" s="52">
        <v>727</v>
      </c>
      <c r="G164" s="52">
        <v>34169</v>
      </c>
      <c r="H164" s="52" t="s">
        <v>1027</v>
      </c>
      <c r="I164" s="52" t="s">
        <v>1028</v>
      </c>
      <c r="J164" s="53">
        <v>45930</v>
      </c>
    </row>
    <row r="165" spans="1:10" x14ac:dyDescent="0.25">
      <c r="A165" s="52" t="s">
        <v>173</v>
      </c>
      <c r="B165" s="53">
        <v>45903</v>
      </c>
      <c r="C165" s="52" t="s">
        <v>1012</v>
      </c>
      <c r="D165" s="52" t="s">
        <v>1023</v>
      </c>
      <c r="E165" s="52">
        <v>470</v>
      </c>
      <c r="F165" s="52">
        <v>1956</v>
      </c>
      <c r="G165" s="52">
        <v>919320</v>
      </c>
      <c r="H165" s="52" t="s">
        <v>1025</v>
      </c>
      <c r="I165" s="52" t="s">
        <v>1029</v>
      </c>
      <c r="J165" s="53" t="s">
        <v>1031</v>
      </c>
    </row>
    <row r="166" spans="1:10" x14ac:dyDescent="0.25">
      <c r="A166" s="52" t="s">
        <v>174</v>
      </c>
      <c r="B166" s="53">
        <v>46023</v>
      </c>
      <c r="C166" s="52" t="s">
        <v>1011</v>
      </c>
      <c r="D166" s="52" t="s">
        <v>1023</v>
      </c>
      <c r="E166" s="52">
        <v>43</v>
      </c>
      <c r="F166" s="52">
        <v>262</v>
      </c>
      <c r="G166" s="52">
        <v>11266</v>
      </c>
      <c r="H166" s="52" t="s">
        <v>1027</v>
      </c>
      <c r="I166" s="52" t="s">
        <v>1026</v>
      </c>
      <c r="J166" s="53" t="s">
        <v>1031</v>
      </c>
    </row>
    <row r="167" spans="1:10" x14ac:dyDescent="0.25">
      <c r="A167" s="52" t="s">
        <v>175</v>
      </c>
      <c r="B167" s="53">
        <v>45722</v>
      </c>
      <c r="C167" s="52" t="s">
        <v>1011</v>
      </c>
      <c r="D167" s="52" t="s">
        <v>1019</v>
      </c>
      <c r="E167" s="52">
        <v>124</v>
      </c>
      <c r="F167" s="52">
        <v>206</v>
      </c>
      <c r="G167" s="52">
        <v>25544</v>
      </c>
      <c r="H167" s="52" t="s">
        <v>1025</v>
      </c>
      <c r="I167" s="52" t="s">
        <v>1028</v>
      </c>
      <c r="J167" s="53">
        <v>45728</v>
      </c>
    </row>
    <row r="168" spans="1:10" x14ac:dyDescent="0.25">
      <c r="A168" s="52" t="s">
        <v>176</v>
      </c>
      <c r="B168" s="53">
        <v>45855</v>
      </c>
      <c r="C168" s="52" t="s">
        <v>1011</v>
      </c>
      <c r="D168" s="52" t="s">
        <v>1017</v>
      </c>
      <c r="E168" s="52">
        <v>123</v>
      </c>
      <c r="F168" s="52">
        <v>1497</v>
      </c>
      <c r="G168" s="52">
        <v>184131</v>
      </c>
      <c r="H168" s="52" t="s">
        <v>1025</v>
      </c>
      <c r="I168" s="52" t="s">
        <v>1029</v>
      </c>
      <c r="J168" s="53" t="s">
        <v>1031</v>
      </c>
    </row>
    <row r="169" spans="1:10" x14ac:dyDescent="0.25">
      <c r="A169" s="52" t="s">
        <v>177</v>
      </c>
      <c r="B169" s="53">
        <v>45970</v>
      </c>
      <c r="C169" s="52" t="s">
        <v>1012</v>
      </c>
      <c r="D169" s="52" t="s">
        <v>1022</v>
      </c>
      <c r="E169" s="52">
        <v>300</v>
      </c>
      <c r="F169" s="52">
        <v>1093</v>
      </c>
      <c r="G169" s="52">
        <v>327900</v>
      </c>
      <c r="H169" s="52" t="s">
        <v>1027</v>
      </c>
      <c r="I169" s="52" t="s">
        <v>1029</v>
      </c>
      <c r="J169" s="53" t="s">
        <v>1031</v>
      </c>
    </row>
    <row r="170" spans="1:10" x14ac:dyDescent="0.25">
      <c r="A170" s="52" t="s">
        <v>178</v>
      </c>
      <c r="B170" s="53">
        <v>45794</v>
      </c>
      <c r="C170" s="52" t="s">
        <v>1014</v>
      </c>
      <c r="D170" s="52" t="s">
        <v>1021</v>
      </c>
      <c r="E170" s="52">
        <v>358</v>
      </c>
      <c r="F170" s="52">
        <v>1764</v>
      </c>
      <c r="G170" s="52">
        <v>631512</v>
      </c>
      <c r="H170" s="52" t="s">
        <v>1027</v>
      </c>
      <c r="I170" s="52" t="s">
        <v>1029</v>
      </c>
      <c r="J170" s="53" t="s">
        <v>1031</v>
      </c>
    </row>
    <row r="171" spans="1:10" x14ac:dyDescent="0.25">
      <c r="A171" s="52" t="s">
        <v>179</v>
      </c>
      <c r="B171" s="53">
        <v>45996</v>
      </c>
      <c r="C171" s="52" t="s">
        <v>1010</v>
      </c>
      <c r="D171" s="52" t="s">
        <v>1019</v>
      </c>
      <c r="E171" s="52">
        <v>460</v>
      </c>
      <c r="F171" s="52">
        <v>1820</v>
      </c>
      <c r="G171" s="52">
        <v>837200</v>
      </c>
      <c r="H171" s="52" t="s">
        <v>1025</v>
      </c>
      <c r="I171" s="52" t="s">
        <v>1028</v>
      </c>
      <c r="J171" s="53">
        <v>46009</v>
      </c>
    </row>
    <row r="172" spans="1:10" x14ac:dyDescent="0.25">
      <c r="A172" s="52" t="s">
        <v>180</v>
      </c>
      <c r="B172" s="53">
        <v>45931</v>
      </c>
      <c r="C172" s="52" t="s">
        <v>1012</v>
      </c>
      <c r="D172" s="52" t="s">
        <v>1020</v>
      </c>
      <c r="E172" s="52">
        <v>54</v>
      </c>
      <c r="F172" s="52">
        <v>1177</v>
      </c>
      <c r="G172" s="52">
        <v>63558</v>
      </c>
      <c r="H172" s="52" t="s">
        <v>1027</v>
      </c>
      <c r="I172" s="52" t="s">
        <v>1026</v>
      </c>
      <c r="J172" s="53" t="s">
        <v>1031</v>
      </c>
    </row>
    <row r="173" spans="1:10" x14ac:dyDescent="0.25">
      <c r="A173" s="52" t="s">
        <v>181</v>
      </c>
      <c r="B173" s="53">
        <v>46025</v>
      </c>
      <c r="C173" s="52" t="s">
        <v>1011</v>
      </c>
      <c r="D173" s="52" t="s">
        <v>1017</v>
      </c>
      <c r="E173" s="52">
        <v>136</v>
      </c>
      <c r="F173" s="52">
        <v>1401</v>
      </c>
      <c r="G173" s="52">
        <v>190536</v>
      </c>
      <c r="H173" s="52" t="s">
        <v>1025</v>
      </c>
      <c r="I173" s="52" t="s">
        <v>1028</v>
      </c>
      <c r="J173" s="53">
        <v>46035</v>
      </c>
    </row>
    <row r="174" spans="1:10" x14ac:dyDescent="0.25">
      <c r="A174" s="52" t="s">
        <v>182</v>
      </c>
      <c r="B174" s="53">
        <v>45948</v>
      </c>
      <c r="C174" s="52" t="s">
        <v>1012</v>
      </c>
      <c r="D174" s="52" t="s">
        <v>1021</v>
      </c>
      <c r="E174" s="52">
        <v>290</v>
      </c>
      <c r="F174" s="52">
        <v>1122</v>
      </c>
      <c r="G174" s="52">
        <v>325380</v>
      </c>
      <c r="H174" s="52" t="s">
        <v>1025</v>
      </c>
      <c r="I174" s="52" t="s">
        <v>1026</v>
      </c>
      <c r="J174" s="53" t="s">
        <v>1031</v>
      </c>
    </row>
    <row r="175" spans="1:10" x14ac:dyDescent="0.25">
      <c r="A175" s="52" t="s">
        <v>183</v>
      </c>
      <c r="B175" s="53">
        <v>45783</v>
      </c>
      <c r="C175" s="52" t="s">
        <v>1013</v>
      </c>
      <c r="D175" s="52" t="s">
        <v>1016</v>
      </c>
      <c r="E175" s="52">
        <v>260</v>
      </c>
      <c r="F175" s="52">
        <v>1955</v>
      </c>
      <c r="G175" s="52">
        <v>508300</v>
      </c>
      <c r="H175" s="52" t="s">
        <v>1027</v>
      </c>
      <c r="I175" s="52" t="s">
        <v>1029</v>
      </c>
      <c r="J175" s="53" t="s">
        <v>1031</v>
      </c>
    </row>
    <row r="176" spans="1:10" x14ac:dyDescent="0.25">
      <c r="A176" s="52" t="s">
        <v>184</v>
      </c>
      <c r="B176" s="53">
        <v>45839</v>
      </c>
      <c r="C176" s="52" t="s">
        <v>1012</v>
      </c>
      <c r="D176" s="52" t="s">
        <v>1016</v>
      </c>
      <c r="E176" s="52">
        <v>59</v>
      </c>
      <c r="F176" s="52">
        <v>817</v>
      </c>
      <c r="G176" s="52">
        <v>48203</v>
      </c>
      <c r="H176" s="52" t="s">
        <v>1027</v>
      </c>
      <c r="I176" s="52" t="s">
        <v>1028</v>
      </c>
      <c r="J176" s="53">
        <v>45847</v>
      </c>
    </row>
    <row r="177" spans="1:10" x14ac:dyDescent="0.25">
      <c r="A177" s="52" t="s">
        <v>185</v>
      </c>
      <c r="B177" s="53">
        <v>45699</v>
      </c>
      <c r="C177" s="52" t="s">
        <v>1012</v>
      </c>
      <c r="D177" s="52" t="s">
        <v>1021</v>
      </c>
      <c r="E177" s="52">
        <v>256</v>
      </c>
      <c r="F177" s="52">
        <v>1000</v>
      </c>
      <c r="G177" s="52">
        <v>256000</v>
      </c>
      <c r="H177" s="52" t="s">
        <v>1025</v>
      </c>
      <c r="I177" s="52" t="s">
        <v>1026</v>
      </c>
      <c r="J177" s="53" t="s">
        <v>1031</v>
      </c>
    </row>
    <row r="178" spans="1:10" x14ac:dyDescent="0.25">
      <c r="A178" s="52" t="s">
        <v>186</v>
      </c>
      <c r="B178" s="53">
        <v>45931</v>
      </c>
      <c r="C178" s="52" t="s">
        <v>1011</v>
      </c>
      <c r="D178" s="52" t="s">
        <v>1022</v>
      </c>
      <c r="E178" s="52">
        <v>196</v>
      </c>
      <c r="F178" s="52">
        <v>729</v>
      </c>
      <c r="G178" s="52">
        <v>142884</v>
      </c>
      <c r="H178" s="52" t="s">
        <v>1030</v>
      </c>
      <c r="I178" s="52" t="s">
        <v>1026</v>
      </c>
      <c r="J178" s="53" t="s">
        <v>1031</v>
      </c>
    </row>
    <row r="179" spans="1:10" x14ac:dyDescent="0.25">
      <c r="A179" s="52" t="s">
        <v>187</v>
      </c>
      <c r="B179" s="53">
        <v>45918</v>
      </c>
      <c r="C179" s="52" t="s">
        <v>1014</v>
      </c>
      <c r="D179" s="52" t="s">
        <v>1022</v>
      </c>
      <c r="E179" s="52">
        <v>331</v>
      </c>
      <c r="F179" s="52">
        <v>1699</v>
      </c>
      <c r="G179" s="52">
        <v>562369</v>
      </c>
      <c r="H179" s="52" t="s">
        <v>1025</v>
      </c>
      <c r="I179" s="52" t="s">
        <v>1026</v>
      </c>
      <c r="J179" s="53" t="s">
        <v>1031</v>
      </c>
    </row>
    <row r="180" spans="1:10" x14ac:dyDescent="0.25">
      <c r="A180" s="52" t="s">
        <v>188</v>
      </c>
      <c r="B180" s="53">
        <v>46039</v>
      </c>
      <c r="C180" s="52" t="s">
        <v>1011</v>
      </c>
      <c r="D180" s="52" t="s">
        <v>1016</v>
      </c>
      <c r="E180" s="52">
        <v>247</v>
      </c>
      <c r="F180" s="52">
        <v>588</v>
      </c>
      <c r="G180" s="52">
        <v>145236</v>
      </c>
      <c r="H180" s="52" t="s">
        <v>1025</v>
      </c>
      <c r="I180" s="52" t="s">
        <v>1029</v>
      </c>
      <c r="J180" s="53" t="s">
        <v>1031</v>
      </c>
    </row>
    <row r="181" spans="1:10" x14ac:dyDescent="0.25">
      <c r="A181" s="52" t="s">
        <v>189</v>
      </c>
      <c r="B181" s="53">
        <v>45844</v>
      </c>
      <c r="C181" s="52" t="s">
        <v>1012</v>
      </c>
      <c r="D181" s="52" t="s">
        <v>1015</v>
      </c>
      <c r="E181" s="52">
        <v>74</v>
      </c>
      <c r="F181" s="52">
        <v>168</v>
      </c>
      <c r="G181" s="52">
        <v>12432</v>
      </c>
      <c r="H181" s="52" t="s">
        <v>1027</v>
      </c>
      <c r="I181" s="52" t="s">
        <v>1029</v>
      </c>
      <c r="J181" s="53" t="s">
        <v>1031</v>
      </c>
    </row>
    <row r="182" spans="1:10" x14ac:dyDescent="0.25">
      <c r="A182" s="52" t="s">
        <v>190</v>
      </c>
      <c r="B182" s="53">
        <v>45976</v>
      </c>
      <c r="C182" s="52" t="s">
        <v>1011</v>
      </c>
      <c r="D182" s="52" t="s">
        <v>1024</v>
      </c>
      <c r="E182" s="52">
        <v>440</v>
      </c>
      <c r="F182" s="52">
        <v>1798</v>
      </c>
      <c r="G182" s="52">
        <v>791120</v>
      </c>
      <c r="H182" s="52" t="s">
        <v>1027</v>
      </c>
      <c r="I182" s="52" t="s">
        <v>1028</v>
      </c>
      <c r="J182" s="53">
        <v>45984</v>
      </c>
    </row>
    <row r="183" spans="1:10" x14ac:dyDescent="0.25">
      <c r="A183" s="52" t="s">
        <v>191</v>
      </c>
      <c r="B183" s="53">
        <v>45893</v>
      </c>
      <c r="C183" s="52" t="s">
        <v>1012</v>
      </c>
      <c r="D183" s="52" t="s">
        <v>1019</v>
      </c>
      <c r="E183" s="52">
        <v>26</v>
      </c>
      <c r="F183" s="52">
        <v>1157</v>
      </c>
      <c r="G183" s="52">
        <v>30082</v>
      </c>
      <c r="H183" s="52" t="s">
        <v>1027</v>
      </c>
      <c r="I183" s="52" t="s">
        <v>1029</v>
      </c>
      <c r="J183" s="53" t="s">
        <v>1031</v>
      </c>
    </row>
    <row r="184" spans="1:10" x14ac:dyDescent="0.25">
      <c r="A184" s="52" t="s">
        <v>192</v>
      </c>
      <c r="B184" s="53">
        <v>45679</v>
      </c>
      <c r="C184" s="52" t="s">
        <v>1013</v>
      </c>
      <c r="D184" s="52" t="s">
        <v>1023</v>
      </c>
      <c r="E184" s="52">
        <v>123</v>
      </c>
      <c r="F184" s="52">
        <v>1370</v>
      </c>
      <c r="G184" s="52">
        <v>168510</v>
      </c>
      <c r="H184" s="52" t="s">
        <v>1030</v>
      </c>
      <c r="I184" s="52" t="s">
        <v>1029</v>
      </c>
      <c r="J184" s="53" t="s">
        <v>1031</v>
      </c>
    </row>
    <row r="185" spans="1:10" x14ac:dyDescent="0.25">
      <c r="A185" s="52" t="s">
        <v>193</v>
      </c>
      <c r="B185" s="53">
        <v>45880</v>
      </c>
      <c r="C185" s="52" t="s">
        <v>1012</v>
      </c>
      <c r="D185" s="52" t="s">
        <v>1015</v>
      </c>
      <c r="E185" s="52">
        <v>70</v>
      </c>
      <c r="F185" s="52">
        <v>1490</v>
      </c>
      <c r="G185" s="52">
        <v>104300</v>
      </c>
      <c r="H185" s="52" t="s">
        <v>1027</v>
      </c>
      <c r="I185" s="52" t="s">
        <v>1029</v>
      </c>
      <c r="J185" s="53" t="s">
        <v>1031</v>
      </c>
    </row>
    <row r="186" spans="1:10" x14ac:dyDescent="0.25">
      <c r="A186" s="52" t="s">
        <v>194</v>
      </c>
      <c r="B186" s="53">
        <v>46013</v>
      </c>
      <c r="C186" s="52" t="s">
        <v>1012</v>
      </c>
      <c r="D186" s="52" t="s">
        <v>1023</v>
      </c>
      <c r="E186" s="52">
        <v>171</v>
      </c>
      <c r="F186" s="52">
        <v>770</v>
      </c>
      <c r="G186" s="52">
        <v>131670</v>
      </c>
      <c r="H186" s="52" t="s">
        <v>1027</v>
      </c>
      <c r="I186" s="52" t="s">
        <v>1029</v>
      </c>
      <c r="J186" s="53" t="s">
        <v>1031</v>
      </c>
    </row>
    <row r="187" spans="1:10" x14ac:dyDescent="0.25">
      <c r="A187" s="52" t="s">
        <v>195</v>
      </c>
      <c r="B187" s="53">
        <v>45874</v>
      </c>
      <c r="C187" s="52" t="s">
        <v>1014</v>
      </c>
      <c r="D187" s="52" t="s">
        <v>1019</v>
      </c>
      <c r="E187" s="52">
        <v>465</v>
      </c>
      <c r="F187" s="52">
        <v>56</v>
      </c>
      <c r="G187" s="52">
        <v>26040</v>
      </c>
      <c r="H187" s="52" t="s">
        <v>1027</v>
      </c>
      <c r="I187" s="52" t="s">
        <v>1026</v>
      </c>
      <c r="J187" s="53" t="s">
        <v>1031</v>
      </c>
    </row>
    <row r="188" spans="1:10" x14ac:dyDescent="0.25">
      <c r="A188" s="52" t="s">
        <v>196</v>
      </c>
      <c r="B188" s="53">
        <v>45740</v>
      </c>
      <c r="C188" s="52" t="s">
        <v>1010</v>
      </c>
      <c r="D188" s="52" t="s">
        <v>1018</v>
      </c>
      <c r="E188" s="52">
        <v>261</v>
      </c>
      <c r="F188" s="52">
        <v>1092</v>
      </c>
      <c r="G188" s="52">
        <v>285012</v>
      </c>
      <c r="H188" s="52" t="s">
        <v>1030</v>
      </c>
      <c r="I188" s="52" t="s">
        <v>1029</v>
      </c>
      <c r="J188" s="53" t="s">
        <v>1031</v>
      </c>
    </row>
    <row r="189" spans="1:10" x14ac:dyDescent="0.25">
      <c r="A189" s="52" t="s">
        <v>197</v>
      </c>
      <c r="B189" s="53">
        <v>45923</v>
      </c>
      <c r="C189" s="52" t="s">
        <v>1013</v>
      </c>
      <c r="D189" s="52" t="s">
        <v>1018</v>
      </c>
      <c r="E189" s="52">
        <v>486</v>
      </c>
      <c r="F189" s="52">
        <v>811</v>
      </c>
      <c r="G189" s="52">
        <v>394146</v>
      </c>
      <c r="H189" s="52" t="s">
        <v>1027</v>
      </c>
      <c r="I189" s="52" t="s">
        <v>1026</v>
      </c>
      <c r="J189" s="53" t="s">
        <v>1031</v>
      </c>
    </row>
    <row r="190" spans="1:10" x14ac:dyDescent="0.25">
      <c r="A190" s="52" t="s">
        <v>198</v>
      </c>
      <c r="B190" s="53">
        <v>45903</v>
      </c>
      <c r="C190" s="52" t="s">
        <v>1011</v>
      </c>
      <c r="D190" s="52" t="s">
        <v>1015</v>
      </c>
      <c r="E190" s="52">
        <v>107</v>
      </c>
      <c r="F190" s="52">
        <v>1205</v>
      </c>
      <c r="G190" s="52">
        <v>128935</v>
      </c>
      <c r="H190" s="52" t="s">
        <v>1027</v>
      </c>
      <c r="I190" s="52" t="s">
        <v>1029</v>
      </c>
      <c r="J190" s="53" t="s">
        <v>1031</v>
      </c>
    </row>
    <row r="191" spans="1:10" x14ac:dyDescent="0.25">
      <c r="A191" s="52" t="s">
        <v>199</v>
      </c>
      <c r="B191" s="53">
        <v>45695</v>
      </c>
      <c r="C191" s="52" t="s">
        <v>1011</v>
      </c>
      <c r="D191" s="52" t="s">
        <v>1021</v>
      </c>
      <c r="E191" s="52">
        <v>352</v>
      </c>
      <c r="F191" s="52">
        <v>178</v>
      </c>
      <c r="G191" s="52">
        <v>62656</v>
      </c>
      <c r="H191" s="52" t="s">
        <v>1025</v>
      </c>
      <c r="I191" s="52" t="s">
        <v>1026</v>
      </c>
      <c r="J191" s="53" t="s">
        <v>1031</v>
      </c>
    </row>
    <row r="192" spans="1:10" x14ac:dyDescent="0.25">
      <c r="A192" s="52" t="s">
        <v>200</v>
      </c>
      <c r="B192" s="53">
        <v>45921</v>
      </c>
      <c r="C192" s="52" t="s">
        <v>1014</v>
      </c>
      <c r="D192" s="52" t="s">
        <v>1017</v>
      </c>
      <c r="E192" s="52">
        <v>298</v>
      </c>
      <c r="F192" s="52">
        <v>1804</v>
      </c>
      <c r="G192" s="52">
        <v>537592</v>
      </c>
      <c r="H192" s="52" t="s">
        <v>1030</v>
      </c>
      <c r="I192" s="52" t="s">
        <v>1028</v>
      </c>
      <c r="J192" s="53">
        <v>45929</v>
      </c>
    </row>
    <row r="193" spans="1:10" x14ac:dyDescent="0.25">
      <c r="A193" s="52" t="s">
        <v>201</v>
      </c>
      <c r="B193" s="53">
        <v>45931</v>
      </c>
      <c r="C193" s="52" t="s">
        <v>1010</v>
      </c>
      <c r="D193" s="52" t="s">
        <v>1021</v>
      </c>
      <c r="E193" s="52">
        <v>100</v>
      </c>
      <c r="F193" s="52">
        <v>162</v>
      </c>
      <c r="G193" s="52">
        <v>16200</v>
      </c>
      <c r="H193" s="52" t="s">
        <v>1025</v>
      </c>
      <c r="I193" s="52" t="s">
        <v>1026</v>
      </c>
      <c r="J193" s="53" t="s">
        <v>1031</v>
      </c>
    </row>
    <row r="194" spans="1:10" x14ac:dyDescent="0.25">
      <c r="A194" s="52" t="s">
        <v>202</v>
      </c>
      <c r="B194" s="53">
        <v>46043</v>
      </c>
      <c r="C194" s="52" t="s">
        <v>1012</v>
      </c>
      <c r="D194" s="52" t="s">
        <v>1015</v>
      </c>
      <c r="E194" s="52">
        <v>96</v>
      </c>
      <c r="F194" s="52">
        <v>187</v>
      </c>
      <c r="G194" s="52">
        <v>17952</v>
      </c>
      <c r="H194" s="52" t="s">
        <v>1027</v>
      </c>
      <c r="I194" s="52" t="s">
        <v>1026</v>
      </c>
      <c r="J194" s="53" t="s">
        <v>1031</v>
      </c>
    </row>
    <row r="195" spans="1:10" x14ac:dyDescent="0.25">
      <c r="A195" s="52" t="s">
        <v>203</v>
      </c>
      <c r="B195" s="53">
        <v>45986</v>
      </c>
      <c r="C195" s="52" t="s">
        <v>1011</v>
      </c>
      <c r="D195" s="52" t="s">
        <v>1017</v>
      </c>
      <c r="E195" s="52">
        <v>482</v>
      </c>
      <c r="F195" s="52">
        <v>670</v>
      </c>
      <c r="G195" s="52">
        <v>322940</v>
      </c>
      <c r="H195" s="52" t="s">
        <v>1025</v>
      </c>
      <c r="I195" s="52" t="s">
        <v>1026</v>
      </c>
      <c r="J195" s="53" t="s">
        <v>1031</v>
      </c>
    </row>
    <row r="196" spans="1:10" x14ac:dyDescent="0.25">
      <c r="A196" s="52" t="s">
        <v>204</v>
      </c>
      <c r="B196" s="53">
        <v>45918</v>
      </c>
      <c r="C196" s="52" t="s">
        <v>1012</v>
      </c>
      <c r="D196" s="52" t="s">
        <v>1024</v>
      </c>
      <c r="E196" s="52">
        <v>238</v>
      </c>
      <c r="F196" s="52">
        <v>1269</v>
      </c>
      <c r="G196" s="52">
        <v>302022</v>
      </c>
      <c r="H196" s="52" t="s">
        <v>1030</v>
      </c>
      <c r="I196" s="52" t="s">
        <v>1029</v>
      </c>
      <c r="J196" s="53" t="s">
        <v>1031</v>
      </c>
    </row>
    <row r="197" spans="1:10" x14ac:dyDescent="0.25">
      <c r="A197" s="52" t="s">
        <v>205</v>
      </c>
      <c r="B197" s="53">
        <v>45798</v>
      </c>
      <c r="C197" s="52" t="s">
        <v>1010</v>
      </c>
      <c r="D197" s="52" t="s">
        <v>1016</v>
      </c>
      <c r="E197" s="52">
        <v>260</v>
      </c>
      <c r="F197" s="52">
        <v>1109</v>
      </c>
      <c r="G197" s="52">
        <v>288340</v>
      </c>
      <c r="H197" s="52" t="s">
        <v>1030</v>
      </c>
      <c r="I197" s="52" t="s">
        <v>1028</v>
      </c>
      <c r="J197" s="53">
        <v>45813</v>
      </c>
    </row>
    <row r="198" spans="1:10" x14ac:dyDescent="0.25">
      <c r="A198" s="52" t="s">
        <v>206</v>
      </c>
      <c r="B198" s="53">
        <v>45867</v>
      </c>
      <c r="C198" s="52" t="s">
        <v>1010</v>
      </c>
      <c r="D198" s="52" t="s">
        <v>1016</v>
      </c>
      <c r="E198" s="52">
        <v>8</v>
      </c>
      <c r="F198" s="52">
        <v>1725</v>
      </c>
      <c r="G198" s="52">
        <v>13800</v>
      </c>
      <c r="H198" s="52" t="s">
        <v>1027</v>
      </c>
      <c r="I198" s="52" t="s">
        <v>1029</v>
      </c>
      <c r="J198" s="53" t="s">
        <v>1031</v>
      </c>
    </row>
    <row r="199" spans="1:10" x14ac:dyDescent="0.25">
      <c r="A199" s="52" t="s">
        <v>207</v>
      </c>
      <c r="B199" s="53">
        <v>45867</v>
      </c>
      <c r="C199" s="52" t="s">
        <v>1010</v>
      </c>
      <c r="D199" s="52" t="s">
        <v>1015</v>
      </c>
      <c r="E199" s="52">
        <v>80</v>
      </c>
      <c r="F199" s="52">
        <v>1262</v>
      </c>
      <c r="G199" s="52">
        <v>100960</v>
      </c>
      <c r="H199" s="52" t="s">
        <v>1030</v>
      </c>
      <c r="I199" s="52" t="s">
        <v>1028</v>
      </c>
      <c r="J199" s="53">
        <v>45882</v>
      </c>
    </row>
    <row r="200" spans="1:10" x14ac:dyDescent="0.25">
      <c r="A200" s="52" t="s">
        <v>208</v>
      </c>
      <c r="B200" s="53">
        <v>46038</v>
      </c>
      <c r="C200" s="52" t="s">
        <v>1013</v>
      </c>
      <c r="D200" s="52" t="s">
        <v>1016</v>
      </c>
      <c r="E200" s="52">
        <v>327</v>
      </c>
      <c r="F200" s="52">
        <v>1272</v>
      </c>
      <c r="G200" s="52">
        <v>415944</v>
      </c>
      <c r="H200" s="52" t="s">
        <v>1025</v>
      </c>
      <c r="I200" s="52" t="s">
        <v>1028</v>
      </c>
      <c r="J200" s="53">
        <v>46051</v>
      </c>
    </row>
    <row r="201" spans="1:10" x14ac:dyDescent="0.25">
      <c r="A201" s="52" t="s">
        <v>209</v>
      </c>
      <c r="B201" s="53">
        <v>45733</v>
      </c>
      <c r="C201" s="52" t="s">
        <v>1010</v>
      </c>
      <c r="D201" s="52" t="s">
        <v>1017</v>
      </c>
      <c r="E201" s="52">
        <v>206</v>
      </c>
      <c r="F201" s="52">
        <v>1123</v>
      </c>
      <c r="G201" s="52">
        <v>231338</v>
      </c>
      <c r="H201" s="52" t="s">
        <v>1030</v>
      </c>
      <c r="I201" s="52" t="s">
        <v>1026</v>
      </c>
      <c r="J201" s="53" t="s">
        <v>1031</v>
      </c>
    </row>
    <row r="202" spans="1:10" x14ac:dyDescent="0.25">
      <c r="A202" s="52" t="s">
        <v>210</v>
      </c>
      <c r="B202" s="53">
        <v>45715</v>
      </c>
      <c r="C202" s="52" t="s">
        <v>1011</v>
      </c>
      <c r="D202" s="52" t="s">
        <v>1018</v>
      </c>
      <c r="E202" s="52">
        <v>349</v>
      </c>
      <c r="F202" s="52">
        <v>1020</v>
      </c>
      <c r="G202" s="52">
        <v>355980</v>
      </c>
      <c r="H202" s="52" t="s">
        <v>1030</v>
      </c>
      <c r="I202" s="52" t="s">
        <v>1028</v>
      </c>
      <c r="J202" s="53">
        <v>45729</v>
      </c>
    </row>
    <row r="203" spans="1:10" x14ac:dyDescent="0.25">
      <c r="A203" s="52" t="s">
        <v>211</v>
      </c>
      <c r="B203" s="53">
        <v>45837</v>
      </c>
      <c r="C203" s="52" t="s">
        <v>1014</v>
      </c>
      <c r="D203" s="52" t="s">
        <v>1017</v>
      </c>
      <c r="E203" s="52">
        <v>151</v>
      </c>
      <c r="F203" s="52">
        <v>1786</v>
      </c>
      <c r="G203" s="52">
        <v>269686</v>
      </c>
      <c r="H203" s="52" t="s">
        <v>1030</v>
      </c>
      <c r="I203" s="52" t="s">
        <v>1028</v>
      </c>
      <c r="J203" s="53">
        <v>45851</v>
      </c>
    </row>
    <row r="204" spans="1:10" x14ac:dyDescent="0.25">
      <c r="A204" s="52" t="s">
        <v>212</v>
      </c>
      <c r="B204" s="53">
        <v>45772</v>
      </c>
      <c r="C204" s="52" t="s">
        <v>1012</v>
      </c>
      <c r="D204" s="52" t="s">
        <v>1024</v>
      </c>
      <c r="E204" s="52">
        <v>314</v>
      </c>
      <c r="F204" s="52">
        <v>1693</v>
      </c>
      <c r="G204" s="52">
        <v>531602</v>
      </c>
      <c r="H204" s="52" t="s">
        <v>1030</v>
      </c>
      <c r="I204" s="52" t="s">
        <v>1029</v>
      </c>
      <c r="J204" s="53" t="s">
        <v>1031</v>
      </c>
    </row>
    <row r="205" spans="1:10" x14ac:dyDescent="0.25">
      <c r="A205" s="52" t="s">
        <v>213</v>
      </c>
      <c r="B205" s="53">
        <v>45942</v>
      </c>
      <c r="C205" s="52" t="s">
        <v>1010</v>
      </c>
      <c r="D205" s="52" t="s">
        <v>1023</v>
      </c>
      <c r="E205" s="52">
        <v>61</v>
      </c>
      <c r="F205" s="52">
        <v>678</v>
      </c>
      <c r="G205" s="52">
        <v>41358</v>
      </c>
      <c r="H205" s="52" t="s">
        <v>1027</v>
      </c>
      <c r="I205" s="52" t="s">
        <v>1029</v>
      </c>
      <c r="J205" s="53" t="s">
        <v>1031</v>
      </c>
    </row>
    <row r="206" spans="1:10" x14ac:dyDescent="0.25">
      <c r="A206" s="52" t="s">
        <v>214</v>
      </c>
      <c r="B206" s="53">
        <v>45734</v>
      </c>
      <c r="C206" s="52" t="s">
        <v>1013</v>
      </c>
      <c r="D206" s="52" t="s">
        <v>1015</v>
      </c>
      <c r="E206" s="52">
        <v>86</v>
      </c>
      <c r="F206" s="52">
        <v>1973</v>
      </c>
      <c r="G206" s="52">
        <v>169678</v>
      </c>
      <c r="H206" s="52" t="s">
        <v>1025</v>
      </c>
      <c r="I206" s="52" t="s">
        <v>1026</v>
      </c>
      <c r="J206" s="53" t="s">
        <v>1031</v>
      </c>
    </row>
    <row r="207" spans="1:10" x14ac:dyDescent="0.25">
      <c r="A207" s="52" t="s">
        <v>215</v>
      </c>
      <c r="B207" s="53">
        <v>45814</v>
      </c>
      <c r="C207" s="52" t="s">
        <v>1014</v>
      </c>
      <c r="D207" s="52" t="s">
        <v>1023</v>
      </c>
      <c r="E207" s="52">
        <v>406</v>
      </c>
      <c r="F207" s="52">
        <v>1344</v>
      </c>
      <c r="G207" s="52">
        <v>545664</v>
      </c>
      <c r="H207" s="52" t="s">
        <v>1025</v>
      </c>
      <c r="I207" s="52" t="s">
        <v>1029</v>
      </c>
      <c r="J207" s="53" t="s">
        <v>1031</v>
      </c>
    </row>
    <row r="208" spans="1:10" x14ac:dyDescent="0.25">
      <c r="A208" s="52" t="s">
        <v>216</v>
      </c>
      <c r="B208" s="53">
        <v>45913</v>
      </c>
      <c r="C208" s="52" t="s">
        <v>1013</v>
      </c>
      <c r="D208" s="52" t="s">
        <v>1023</v>
      </c>
      <c r="E208" s="52">
        <v>316</v>
      </c>
      <c r="F208" s="52">
        <v>27</v>
      </c>
      <c r="G208" s="52">
        <v>8532</v>
      </c>
      <c r="H208" s="52" t="s">
        <v>1025</v>
      </c>
      <c r="I208" s="52" t="s">
        <v>1028</v>
      </c>
      <c r="J208" s="53">
        <v>45919</v>
      </c>
    </row>
    <row r="209" spans="1:10" x14ac:dyDescent="0.25">
      <c r="A209" s="52" t="s">
        <v>217</v>
      </c>
      <c r="B209" s="53">
        <v>45899</v>
      </c>
      <c r="C209" s="52" t="s">
        <v>1014</v>
      </c>
      <c r="D209" s="52" t="s">
        <v>1022</v>
      </c>
      <c r="E209" s="52">
        <v>196</v>
      </c>
      <c r="F209" s="52">
        <v>1806</v>
      </c>
      <c r="G209" s="52">
        <v>353976</v>
      </c>
      <c r="H209" s="52" t="s">
        <v>1025</v>
      </c>
      <c r="I209" s="52" t="s">
        <v>1026</v>
      </c>
      <c r="J209" s="53" t="s">
        <v>1031</v>
      </c>
    </row>
    <row r="210" spans="1:10" x14ac:dyDescent="0.25">
      <c r="A210" s="52" t="s">
        <v>218</v>
      </c>
      <c r="B210" s="53">
        <v>46036</v>
      </c>
      <c r="C210" s="52" t="s">
        <v>1012</v>
      </c>
      <c r="D210" s="52" t="s">
        <v>1022</v>
      </c>
      <c r="E210" s="52">
        <v>169</v>
      </c>
      <c r="F210" s="52">
        <v>551</v>
      </c>
      <c r="G210" s="52">
        <v>93119</v>
      </c>
      <c r="H210" s="52" t="s">
        <v>1025</v>
      </c>
      <c r="I210" s="52" t="s">
        <v>1028</v>
      </c>
      <c r="J210" s="53">
        <v>46046</v>
      </c>
    </row>
    <row r="211" spans="1:10" x14ac:dyDescent="0.25">
      <c r="A211" s="52" t="s">
        <v>219</v>
      </c>
      <c r="B211" s="53">
        <v>46049</v>
      </c>
      <c r="C211" s="52" t="s">
        <v>1012</v>
      </c>
      <c r="D211" s="52" t="s">
        <v>1024</v>
      </c>
      <c r="E211" s="52">
        <v>105</v>
      </c>
      <c r="F211" s="52">
        <v>1224</v>
      </c>
      <c r="G211" s="52">
        <v>128520</v>
      </c>
      <c r="H211" s="52" t="s">
        <v>1025</v>
      </c>
      <c r="I211" s="52" t="s">
        <v>1026</v>
      </c>
      <c r="J211" s="53" t="s">
        <v>1031</v>
      </c>
    </row>
    <row r="212" spans="1:10" x14ac:dyDescent="0.25">
      <c r="A212" s="52" t="s">
        <v>220</v>
      </c>
      <c r="B212" s="53">
        <v>45927</v>
      </c>
      <c r="C212" s="52" t="s">
        <v>1013</v>
      </c>
      <c r="D212" s="52" t="s">
        <v>1019</v>
      </c>
      <c r="E212" s="52">
        <v>195</v>
      </c>
      <c r="F212" s="52">
        <v>1954</v>
      </c>
      <c r="G212" s="52">
        <v>381030</v>
      </c>
      <c r="H212" s="52" t="s">
        <v>1030</v>
      </c>
      <c r="I212" s="52" t="s">
        <v>1028</v>
      </c>
      <c r="J212" s="53">
        <v>45939</v>
      </c>
    </row>
    <row r="213" spans="1:10" x14ac:dyDescent="0.25">
      <c r="A213" s="52" t="s">
        <v>221</v>
      </c>
      <c r="B213" s="53">
        <v>45876</v>
      </c>
      <c r="C213" s="52" t="s">
        <v>1011</v>
      </c>
      <c r="D213" s="52" t="s">
        <v>1016</v>
      </c>
      <c r="E213" s="52">
        <v>313</v>
      </c>
      <c r="F213" s="52">
        <v>192</v>
      </c>
      <c r="G213" s="52">
        <v>60096</v>
      </c>
      <c r="H213" s="52" t="s">
        <v>1030</v>
      </c>
      <c r="I213" s="52" t="s">
        <v>1028</v>
      </c>
      <c r="J213" s="53">
        <v>45888</v>
      </c>
    </row>
    <row r="214" spans="1:10" x14ac:dyDescent="0.25">
      <c r="A214" s="52" t="s">
        <v>222</v>
      </c>
      <c r="B214" s="53">
        <v>45998</v>
      </c>
      <c r="C214" s="52" t="s">
        <v>1013</v>
      </c>
      <c r="D214" s="52" t="s">
        <v>1024</v>
      </c>
      <c r="E214" s="52">
        <v>94</v>
      </c>
      <c r="F214" s="52">
        <v>896</v>
      </c>
      <c r="G214" s="52">
        <v>84224</v>
      </c>
      <c r="H214" s="52" t="s">
        <v>1030</v>
      </c>
      <c r="I214" s="52" t="s">
        <v>1028</v>
      </c>
      <c r="J214" s="53">
        <v>46004</v>
      </c>
    </row>
    <row r="215" spans="1:10" x14ac:dyDescent="0.25">
      <c r="A215" s="52" t="s">
        <v>223</v>
      </c>
      <c r="B215" s="53">
        <v>45923</v>
      </c>
      <c r="C215" s="52" t="s">
        <v>1014</v>
      </c>
      <c r="D215" s="52" t="s">
        <v>1021</v>
      </c>
      <c r="E215" s="52">
        <v>18</v>
      </c>
      <c r="F215" s="52">
        <v>207</v>
      </c>
      <c r="G215" s="52">
        <v>3726</v>
      </c>
      <c r="H215" s="52" t="s">
        <v>1030</v>
      </c>
      <c r="I215" s="52" t="s">
        <v>1026</v>
      </c>
      <c r="J215" s="53" t="s">
        <v>1031</v>
      </c>
    </row>
    <row r="216" spans="1:10" x14ac:dyDescent="0.25">
      <c r="A216" s="52" t="s">
        <v>224</v>
      </c>
      <c r="B216" s="53">
        <v>45982</v>
      </c>
      <c r="C216" s="52" t="s">
        <v>1012</v>
      </c>
      <c r="D216" s="52" t="s">
        <v>1019</v>
      </c>
      <c r="E216" s="52">
        <v>465</v>
      </c>
      <c r="F216" s="52">
        <v>1269</v>
      </c>
      <c r="G216" s="52">
        <v>590085</v>
      </c>
      <c r="H216" s="52" t="s">
        <v>1025</v>
      </c>
      <c r="I216" s="52" t="s">
        <v>1028</v>
      </c>
      <c r="J216" s="53">
        <v>45994</v>
      </c>
    </row>
    <row r="217" spans="1:10" x14ac:dyDescent="0.25">
      <c r="A217" s="52" t="s">
        <v>225</v>
      </c>
      <c r="B217" s="53">
        <v>45668</v>
      </c>
      <c r="C217" s="52" t="s">
        <v>1013</v>
      </c>
      <c r="D217" s="52" t="s">
        <v>1024</v>
      </c>
      <c r="E217" s="52">
        <v>264</v>
      </c>
      <c r="F217" s="52">
        <v>269</v>
      </c>
      <c r="G217" s="52">
        <v>71016</v>
      </c>
      <c r="H217" s="52" t="s">
        <v>1027</v>
      </c>
      <c r="I217" s="52" t="s">
        <v>1029</v>
      </c>
      <c r="J217" s="53" t="s">
        <v>1031</v>
      </c>
    </row>
    <row r="218" spans="1:10" x14ac:dyDescent="0.25">
      <c r="A218" s="52" t="s">
        <v>226</v>
      </c>
      <c r="B218" s="53">
        <v>45668</v>
      </c>
      <c r="C218" s="52" t="s">
        <v>1012</v>
      </c>
      <c r="D218" s="52" t="s">
        <v>1024</v>
      </c>
      <c r="E218" s="52">
        <v>315</v>
      </c>
      <c r="F218" s="52">
        <v>411</v>
      </c>
      <c r="G218" s="52">
        <v>129465</v>
      </c>
      <c r="H218" s="52" t="s">
        <v>1027</v>
      </c>
      <c r="I218" s="52" t="s">
        <v>1028</v>
      </c>
      <c r="J218" s="53">
        <v>45675</v>
      </c>
    </row>
    <row r="219" spans="1:10" x14ac:dyDescent="0.25">
      <c r="A219" s="52" t="s">
        <v>227</v>
      </c>
      <c r="B219" s="53">
        <v>45767</v>
      </c>
      <c r="C219" s="52" t="s">
        <v>1011</v>
      </c>
      <c r="D219" s="52" t="s">
        <v>1018</v>
      </c>
      <c r="E219" s="52">
        <v>163</v>
      </c>
      <c r="F219" s="52">
        <v>1218</v>
      </c>
      <c r="G219" s="52">
        <v>198534</v>
      </c>
      <c r="H219" s="52" t="s">
        <v>1025</v>
      </c>
      <c r="I219" s="52" t="s">
        <v>1029</v>
      </c>
      <c r="J219" s="53" t="s">
        <v>1031</v>
      </c>
    </row>
    <row r="220" spans="1:10" x14ac:dyDescent="0.25">
      <c r="A220" s="52" t="s">
        <v>228</v>
      </c>
      <c r="B220" s="53">
        <v>45660</v>
      </c>
      <c r="C220" s="52" t="s">
        <v>1014</v>
      </c>
      <c r="D220" s="52" t="s">
        <v>1022</v>
      </c>
      <c r="E220" s="52">
        <v>73</v>
      </c>
      <c r="F220" s="52">
        <v>882</v>
      </c>
      <c r="G220" s="52">
        <v>64386</v>
      </c>
      <c r="H220" s="52" t="s">
        <v>1030</v>
      </c>
      <c r="I220" s="52" t="s">
        <v>1026</v>
      </c>
      <c r="J220" s="53" t="s">
        <v>1031</v>
      </c>
    </row>
    <row r="221" spans="1:10" x14ac:dyDescent="0.25">
      <c r="A221" s="52" t="s">
        <v>229</v>
      </c>
      <c r="B221" s="53">
        <v>45853</v>
      </c>
      <c r="C221" s="52" t="s">
        <v>1010</v>
      </c>
      <c r="D221" s="52" t="s">
        <v>1015</v>
      </c>
      <c r="E221" s="52">
        <v>451</v>
      </c>
      <c r="F221" s="52">
        <v>1453</v>
      </c>
      <c r="G221" s="52">
        <v>655303</v>
      </c>
      <c r="H221" s="52" t="s">
        <v>1025</v>
      </c>
      <c r="I221" s="52" t="s">
        <v>1029</v>
      </c>
      <c r="J221" s="53" t="s">
        <v>1031</v>
      </c>
    </row>
    <row r="222" spans="1:10" x14ac:dyDescent="0.25">
      <c r="A222" s="52" t="s">
        <v>230</v>
      </c>
      <c r="B222" s="53">
        <v>46028</v>
      </c>
      <c r="C222" s="52" t="s">
        <v>1011</v>
      </c>
      <c r="D222" s="52" t="s">
        <v>1024</v>
      </c>
      <c r="E222" s="52">
        <v>371</v>
      </c>
      <c r="F222" s="52">
        <v>1367</v>
      </c>
      <c r="G222" s="52">
        <v>507157</v>
      </c>
      <c r="H222" s="52" t="s">
        <v>1027</v>
      </c>
      <c r="I222" s="52" t="s">
        <v>1029</v>
      </c>
      <c r="J222" s="53" t="s">
        <v>1031</v>
      </c>
    </row>
    <row r="223" spans="1:10" x14ac:dyDescent="0.25">
      <c r="A223" s="52" t="s">
        <v>231</v>
      </c>
      <c r="B223" s="53">
        <v>45752</v>
      </c>
      <c r="C223" s="52" t="s">
        <v>1012</v>
      </c>
      <c r="D223" s="52" t="s">
        <v>1018</v>
      </c>
      <c r="E223" s="52">
        <v>342</v>
      </c>
      <c r="F223" s="52">
        <v>948</v>
      </c>
      <c r="G223" s="52">
        <v>324216</v>
      </c>
      <c r="H223" s="52" t="s">
        <v>1030</v>
      </c>
      <c r="I223" s="52" t="s">
        <v>1029</v>
      </c>
      <c r="J223" s="53" t="s">
        <v>1031</v>
      </c>
    </row>
    <row r="224" spans="1:10" x14ac:dyDescent="0.25">
      <c r="A224" s="52" t="s">
        <v>232</v>
      </c>
      <c r="B224" s="53">
        <v>45963</v>
      </c>
      <c r="C224" s="52" t="s">
        <v>1012</v>
      </c>
      <c r="D224" s="52" t="s">
        <v>1023</v>
      </c>
      <c r="E224" s="52">
        <v>335</v>
      </c>
      <c r="F224" s="52">
        <v>715</v>
      </c>
      <c r="G224" s="52">
        <v>239525</v>
      </c>
      <c r="H224" s="52" t="s">
        <v>1025</v>
      </c>
      <c r="I224" s="52" t="s">
        <v>1029</v>
      </c>
      <c r="J224" s="53" t="s">
        <v>1031</v>
      </c>
    </row>
    <row r="225" spans="1:10" x14ac:dyDescent="0.25">
      <c r="A225" s="52" t="s">
        <v>233</v>
      </c>
      <c r="B225" s="53">
        <v>45977</v>
      </c>
      <c r="C225" s="52" t="s">
        <v>1014</v>
      </c>
      <c r="D225" s="52" t="s">
        <v>1015</v>
      </c>
      <c r="E225" s="52">
        <v>328</v>
      </c>
      <c r="F225" s="52">
        <v>1459</v>
      </c>
      <c r="G225" s="52">
        <v>478552</v>
      </c>
      <c r="H225" s="52" t="s">
        <v>1027</v>
      </c>
      <c r="I225" s="52" t="s">
        <v>1028</v>
      </c>
      <c r="J225" s="53">
        <v>45984</v>
      </c>
    </row>
    <row r="226" spans="1:10" x14ac:dyDescent="0.25">
      <c r="A226" s="52" t="s">
        <v>234</v>
      </c>
      <c r="B226" s="53">
        <v>46032</v>
      </c>
      <c r="C226" s="52" t="s">
        <v>1013</v>
      </c>
      <c r="D226" s="52" t="s">
        <v>1019</v>
      </c>
      <c r="E226" s="52">
        <v>420</v>
      </c>
      <c r="F226" s="52">
        <v>1876</v>
      </c>
      <c r="G226" s="52">
        <v>787920</v>
      </c>
      <c r="H226" s="52" t="s">
        <v>1027</v>
      </c>
      <c r="I226" s="52" t="s">
        <v>1029</v>
      </c>
      <c r="J226" s="53" t="s">
        <v>1031</v>
      </c>
    </row>
    <row r="227" spans="1:10" x14ac:dyDescent="0.25">
      <c r="A227" s="52" t="s">
        <v>235</v>
      </c>
      <c r="B227" s="53">
        <v>45986</v>
      </c>
      <c r="C227" s="52" t="s">
        <v>1010</v>
      </c>
      <c r="D227" s="52" t="s">
        <v>1019</v>
      </c>
      <c r="E227" s="52">
        <v>45</v>
      </c>
      <c r="F227" s="52">
        <v>47</v>
      </c>
      <c r="G227" s="52">
        <v>2115</v>
      </c>
      <c r="H227" s="52" t="s">
        <v>1030</v>
      </c>
      <c r="I227" s="52" t="s">
        <v>1028</v>
      </c>
      <c r="J227" s="53">
        <v>45995</v>
      </c>
    </row>
    <row r="228" spans="1:10" x14ac:dyDescent="0.25">
      <c r="A228" s="52" t="s">
        <v>236</v>
      </c>
      <c r="B228" s="53">
        <v>46002</v>
      </c>
      <c r="C228" s="52" t="s">
        <v>1013</v>
      </c>
      <c r="D228" s="52" t="s">
        <v>1016</v>
      </c>
      <c r="E228" s="52">
        <v>436</v>
      </c>
      <c r="F228" s="52">
        <v>1077</v>
      </c>
      <c r="G228" s="52">
        <v>469572</v>
      </c>
      <c r="H228" s="52" t="s">
        <v>1025</v>
      </c>
      <c r="I228" s="52" t="s">
        <v>1026</v>
      </c>
      <c r="J228" s="53" t="s">
        <v>1031</v>
      </c>
    </row>
    <row r="229" spans="1:10" x14ac:dyDescent="0.25">
      <c r="A229" s="52" t="s">
        <v>237</v>
      </c>
      <c r="B229" s="53">
        <v>46011</v>
      </c>
      <c r="C229" s="52" t="s">
        <v>1010</v>
      </c>
      <c r="D229" s="52" t="s">
        <v>1015</v>
      </c>
      <c r="E229" s="52">
        <v>327</v>
      </c>
      <c r="F229" s="52">
        <v>1820</v>
      </c>
      <c r="G229" s="52">
        <v>595140</v>
      </c>
      <c r="H229" s="52" t="s">
        <v>1025</v>
      </c>
      <c r="I229" s="52" t="s">
        <v>1029</v>
      </c>
      <c r="J229" s="53" t="s">
        <v>1031</v>
      </c>
    </row>
    <row r="230" spans="1:10" x14ac:dyDescent="0.25">
      <c r="A230" s="52" t="s">
        <v>238</v>
      </c>
      <c r="B230" s="53">
        <v>45926</v>
      </c>
      <c r="C230" s="52" t="s">
        <v>1014</v>
      </c>
      <c r="D230" s="52" t="s">
        <v>1020</v>
      </c>
      <c r="E230" s="52">
        <v>393</v>
      </c>
      <c r="F230" s="52">
        <v>745</v>
      </c>
      <c r="G230" s="52">
        <v>292785</v>
      </c>
      <c r="H230" s="52" t="s">
        <v>1025</v>
      </c>
      <c r="I230" s="52" t="s">
        <v>1026</v>
      </c>
      <c r="J230" s="53" t="s">
        <v>1031</v>
      </c>
    </row>
    <row r="231" spans="1:10" x14ac:dyDescent="0.25">
      <c r="A231" s="52" t="s">
        <v>239</v>
      </c>
      <c r="B231" s="53">
        <v>45802</v>
      </c>
      <c r="C231" s="52" t="s">
        <v>1014</v>
      </c>
      <c r="D231" s="52" t="s">
        <v>1019</v>
      </c>
      <c r="E231" s="52">
        <v>333</v>
      </c>
      <c r="F231" s="52">
        <v>857</v>
      </c>
      <c r="G231" s="52">
        <v>285381</v>
      </c>
      <c r="H231" s="52" t="s">
        <v>1027</v>
      </c>
      <c r="I231" s="52" t="s">
        <v>1028</v>
      </c>
      <c r="J231" s="53">
        <v>45815</v>
      </c>
    </row>
    <row r="232" spans="1:10" x14ac:dyDescent="0.25">
      <c r="A232" s="52" t="s">
        <v>240</v>
      </c>
      <c r="B232" s="53">
        <v>45694</v>
      </c>
      <c r="C232" s="52" t="s">
        <v>1013</v>
      </c>
      <c r="D232" s="52" t="s">
        <v>1019</v>
      </c>
      <c r="E232" s="52">
        <v>365</v>
      </c>
      <c r="F232" s="52">
        <v>1237</v>
      </c>
      <c r="G232" s="52">
        <v>451505</v>
      </c>
      <c r="H232" s="52" t="s">
        <v>1030</v>
      </c>
      <c r="I232" s="52" t="s">
        <v>1026</v>
      </c>
      <c r="J232" s="53" t="s">
        <v>1031</v>
      </c>
    </row>
    <row r="233" spans="1:10" x14ac:dyDescent="0.25">
      <c r="A233" s="52" t="s">
        <v>241</v>
      </c>
      <c r="B233" s="53">
        <v>45681</v>
      </c>
      <c r="C233" s="52" t="s">
        <v>1011</v>
      </c>
      <c r="D233" s="52" t="s">
        <v>1024</v>
      </c>
      <c r="E233" s="52">
        <v>210</v>
      </c>
      <c r="F233" s="52">
        <v>402</v>
      </c>
      <c r="G233" s="52">
        <v>84420</v>
      </c>
      <c r="H233" s="52" t="s">
        <v>1027</v>
      </c>
      <c r="I233" s="52" t="s">
        <v>1026</v>
      </c>
      <c r="J233" s="53" t="s">
        <v>1031</v>
      </c>
    </row>
    <row r="234" spans="1:10" x14ac:dyDescent="0.25">
      <c r="A234" s="52" t="s">
        <v>242</v>
      </c>
      <c r="B234" s="53">
        <v>45756</v>
      </c>
      <c r="C234" s="52" t="s">
        <v>1010</v>
      </c>
      <c r="D234" s="52" t="s">
        <v>1019</v>
      </c>
      <c r="E234" s="52">
        <v>173</v>
      </c>
      <c r="F234" s="52">
        <v>564</v>
      </c>
      <c r="G234" s="52">
        <v>97572</v>
      </c>
      <c r="H234" s="52" t="s">
        <v>1027</v>
      </c>
      <c r="I234" s="52" t="s">
        <v>1026</v>
      </c>
      <c r="J234" s="53" t="s">
        <v>1031</v>
      </c>
    </row>
    <row r="235" spans="1:10" x14ac:dyDescent="0.25">
      <c r="A235" s="52" t="s">
        <v>243</v>
      </c>
      <c r="B235" s="53">
        <v>45830</v>
      </c>
      <c r="C235" s="52" t="s">
        <v>1011</v>
      </c>
      <c r="D235" s="52" t="s">
        <v>1018</v>
      </c>
      <c r="E235" s="52">
        <v>17</v>
      </c>
      <c r="F235" s="52">
        <v>401</v>
      </c>
      <c r="G235" s="52">
        <v>6817</v>
      </c>
      <c r="H235" s="52" t="s">
        <v>1025</v>
      </c>
      <c r="I235" s="52" t="s">
        <v>1028</v>
      </c>
      <c r="J235" s="53">
        <v>45836</v>
      </c>
    </row>
    <row r="236" spans="1:10" x14ac:dyDescent="0.25">
      <c r="A236" s="52" t="s">
        <v>244</v>
      </c>
      <c r="B236" s="53">
        <v>45869</v>
      </c>
      <c r="C236" s="52" t="s">
        <v>1013</v>
      </c>
      <c r="D236" s="52" t="s">
        <v>1023</v>
      </c>
      <c r="E236" s="52">
        <v>297</v>
      </c>
      <c r="F236" s="52">
        <v>1937</v>
      </c>
      <c r="G236" s="52">
        <v>575289</v>
      </c>
      <c r="H236" s="52" t="s">
        <v>1025</v>
      </c>
      <c r="I236" s="52" t="s">
        <v>1028</v>
      </c>
      <c r="J236" s="53">
        <v>45884</v>
      </c>
    </row>
    <row r="237" spans="1:10" x14ac:dyDescent="0.25">
      <c r="A237" s="52" t="s">
        <v>245</v>
      </c>
      <c r="B237" s="53">
        <v>46002</v>
      </c>
      <c r="C237" s="52" t="s">
        <v>1010</v>
      </c>
      <c r="D237" s="52" t="s">
        <v>1022</v>
      </c>
      <c r="E237" s="52">
        <v>119</v>
      </c>
      <c r="F237" s="52">
        <v>1820</v>
      </c>
      <c r="G237" s="52">
        <v>216580</v>
      </c>
      <c r="H237" s="52" t="s">
        <v>1027</v>
      </c>
      <c r="I237" s="52" t="s">
        <v>1028</v>
      </c>
      <c r="J237" s="53">
        <v>46014</v>
      </c>
    </row>
    <row r="238" spans="1:10" x14ac:dyDescent="0.25">
      <c r="A238" s="52" t="s">
        <v>246</v>
      </c>
      <c r="B238" s="53">
        <v>45962</v>
      </c>
      <c r="C238" s="52" t="s">
        <v>1012</v>
      </c>
      <c r="D238" s="52" t="s">
        <v>1021</v>
      </c>
      <c r="E238" s="52">
        <v>150</v>
      </c>
      <c r="F238" s="52">
        <v>93</v>
      </c>
      <c r="G238" s="52">
        <v>13950</v>
      </c>
      <c r="H238" s="52" t="s">
        <v>1027</v>
      </c>
      <c r="I238" s="52" t="s">
        <v>1029</v>
      </c>
      <c r="J238" s="53" t="s">
        <v>1031</v>
      </c>
    </row>
    <row r="239" spans="1:10" x14ac:dyDescent="0.25">
      <c r="A239" s="52" t="s">
        <v>247</v>
      </c>
      <c r="B239" s="53">
        <v>45788</v>
      </c>
      <c r="C239" s="52" t="s">
        <v>1012</v>
      </c>
      <c r="D239" s="52" t="s">
        <v>1019</v>
      </c>
      <c r="E239" s="52">
        <v>227</v>
      </c>
      <c r="F239" s="52">
        <v>1334</v>
      </c>
      <c r="G239" s="52">
        <v>302818</v>
      </c>
      <c r="H239" s="52" t="s">
        <v>1025</v>
      </c>
      <c r="I239" s="52" t="s">
        <v>1026</v>
      </c>
      <c r="J239" s="53" t="s">
        <v>1031</v>
      </c>
    </row>
    <row r="240" spans="1:10" x14ac:dyDescent="0.25">
      <c r="A240" s="52" t="s">
        <v>248</v>
      </c>
      <c r="B240" s="53">
        <v>46000</v>
      </c>
      <c r="C240" s="52" t="s">
        <v>1013</v>
      </c>
      <c r="D240" s="52" t="s">
        <v>1019</v>
      </c>
      <c r="E240" s="52">
        <v>125</v>
      </c>
      <c r="F240" s="52">
        <v>1195</v>
      </c>
      <c r="G240" s="52">
        <v>149375</v>
      </c>
      <c r="H240" s="52" t="s">
        <v>1027</v>
      </c>
      <c r="I240" s="52" t="s">
        <v>1026</v>
      </c>
      <c r="J240" s="53" t="s">
        <v>1031</v>
      </c>
    </row>
    <row r="241" spans="1:10" x14ac:dyDescent="0.25">
      <c r="A241" s="52" t="s">
        <v>249</v>
      </c>
      <c r="B241" s="53">
        <v>45984</v>
      </c>
      <c r="C241" s="52" t="s">
        <v>1013</v>
      </c>
      <c r="D241" s="52" t="s">
        <v>1021</v>
      </c>
      <c r="E241" s="52">
        <v>321</v>
      </c>
      <c r="F241" s="52">
        <v>534</v>
      </c>
      <c r="G241" s="52">
        <v>171414</v>
      </c>
      <c r="H241" s="52" t="s">
        <v>1030</v>
      </c>
      <c r="I241" s="52" t="s">
        <v>1026</v>
      </c>
      <c r="J241" s="53" t="s">
        <v>1031</v>
      </c>
    </row>
    <row r="242" spans="1:10" x14ac:dyDescent="0.25">
      <c r="A242" s="52" t="s">
        <v>250</v>
      </c>
      <c r="B242" s="53">
        <v>45933</v>
      </c>
      <c r="C242" s="52" t="s">
        <v>1014</v>
      </c>
      <c r="D242" s="52" t="s">
        <v>1015</v>
      </c>
      <c r="E242" s="52">
        <v>397</v>
      </c>
      <c r="F242" s="52">
        <v>596</v>
      </c>
      <c r="G242" s="52">
        <v>236612</v>
      </c>
      <c r="H242" s="52" t="s">
        <v>1025</v>
      </c>
      <c r="I242" s="52" t="s">
        <v>1026</v>
      </c>
      <c r="J242" s="53" t="s">
        <v>1031</v>
      </c>
    </row>
    <row r="243" spans="1:10" x14ac:dyDescent="0.25">
      <c r="A243" s="52" t="s">
        <v>251</v>
      </c>
      <c r="B243" s="53">
        <v>45829</v>
      </c>
      <c r="C243" s="52" t="s">
        <v>1011</v>
      </c>
      <c r="D243" s="52" t="s">
        <v>1017</v>
      </c>
      <c r="E243" s="52">
        <v>318</v>
      </c>
      <c r="F243" s="52">
        <v>1134</v>
      </c>
      <c r="G243" s="52">
        <v>360612</v>
      </c>
      <c r="H243" s="52" t="s">
        <v>1027</v>
      </c>
      <c r="I243" s="52" t="s">
        <v>1029</v>
      </c>
      <c r="J243" s="53" t="s">
        <v>1031</v>
      </c>
    </row>
    <row r="244" spans="1:10" x14ac:dyDescent="0.25">
      <c r="A244" s="52" t="s">
        <v>252</v>
      </c>
      <c r="B244" s="53">
        <v>45787</v>
      </c>
      <c r="C244" s="52" t="s">
        <v>1010</v>
      </c>
      <c r="D244" s="52" t="s">
        <v>1024</v>
      </c>
      <c r="E244" s="52">
        <v>177</v>
      </c>
      <c r="F244" s="52">
        <v>865</v>
      </c>
      <c r="G244" s="52">
        <v>153105</v>
      </c>
      <c r="H244" s="52" t="s">
        <v>1025</v>
      </c>
      <c r="I244" s="52" t="s">
        <v>1029</v>
      </c>
      <c r="J244" s="53" t="s">
        <v>1031</v>
      </c>
    </row>
    <row r="245" spans="1:10" x14ac:dyDescent="0.25">
      <c r="A245" s="52" t="s">
        <v>253</v>
      </c>
      <c r="B245" s="53">
        <v>46036</v>
      </c>
      <c r="C245" s="52" t="s">
        <v>1010</v>
      </c>
      <c r="D245" s="52" t="s">
        <v>1015</v>
      </c>
      <c r="E245" s="52">
        <v>17</v>
      </c>
      <c r="F245" s="52">
        <v>1843</v>
      </c>
      <c r="G245" s="52">
        <v>31331</v>
      </c>
      <c r="H245" s="52" t="s">
        <v>1030</v>
      </c>
      <c r="I245" s="52" t="s">
        <v>1028</v>
      </c>
      <c r="J245" s="53">
        <v>46051</v>
      </c>
    </row>
    <row r="246" spans="1:10" x14ac:dyDescent="0.25">
      <c r="A246" s="52" t="s">
        <v>254</v>
      </c>
      <c r="B246" s="53">
        <v>45913</v>
      </c>
      <c r="C246" s="52" t="s">
        <v>1011</v>
      </c>
      <c r="D246" s="52" t="s">
        <v>1020</v>
      </c>
      <c r="E246" s="52">
        <v>34</v>
      </c>
      <c r="F246" s="52">
        <v>308</v>
      </c>
      <c r="G246" s="52">
        <v>10472</v>
      </c>
      <c r="H246" s="52" t="s">
        <v>1025</v>
      </c>
      <c r="I246" s="52" t="s">
        <v>1029</v>
      </c>
      <c r="J246" s="53" t="s">
        <v>1031</v>
      </c>
    </row>
    <row r="247" spans="1:10" x14ac:dyDescent="0.25">
      <c r="A247" s="52" t="s">
        <v>255</v>
      </c>
      <c r="B247" s="53">
        <v>46006</v>
      </c>
      <c r="C247" s="52" t="s">
        <v>1014</v>
      </c>
      <c r="D247" s="52" t="s">
        <v>1019</v>
      </c>
      <c r="E247" s="52">
        <v>153</v>
      </c>
      <c r="F247" s="52">
        <v>1736</v>
      </c>
      <c r="G247" s="52">
        <v>265608</v>
      </c>
      <c r="H247" s="52" t="s">
        <v>1025</v>
      </c>
      <c r="I247" s="52" t="s">
        <v>1028</v>
      </c>
      <c r="J247" s="53">
        <v>46013</v>
      </c>
    </row>
    <row r="248" spans="1:10" x14ac:dyDescent="0.25">
      <c r="A248" s="52" t="s">
        <v>256</v>
      </c>
      <c r="B248" s="53">
        <v>45807</v>
      </c>
      <c r="C248" s="52" t="s">
        <v>1013</v>
      </c>
      <c r="D248" s="52" t="s">
        <v>1015</v>
      </c>
      <c r="E248" s="52">
        <v>426</v>
      </c>
      <c r="F248" s="52">
        <v>946</v>
      </c>
      <c r="G248" s="52">
        <v>402996</v>
      </c>
      <c r="H248" s="52" t="s">
        <v>1030</v>
      </c>
      <c r="I248" s="52" t="s">
        <v>1028</v>
      </c>
      <c r="J248" s="53">
        <v>45820</v>
      </c>
    </row>
    <row r="249" spans="1:10" x14ac:dyDescent="0.25">
      <c r="A249" s="52" t="s">
        <v>257</v>
      </c>
      <c r="B249" s="53">
        <v>45905</v>
      </c>
      <c r="C249" s="52" t="s">
        <v>1014</v>
      </c>
      <c r="D249" s="52" t="s">
        <v>1015</v>
      </c>
      <c r="E249" s="52">
        <v>170</v>
      </c>
      <c r="F249" s="52">
        <v>888</v>
      </c>
      <c r="G249" s="52">
        <v>150960</v>
      </c>
      <c r="H249" s="52" t="s">
        <v>1030</v>
      </c>
      <c r="I249" s="52" t="s">
        <v>1029</v>
      </c>
      <c r="J249" s="53" t="s">
        <v>1031</v>
      </c>
    </row>
    <row r="250" spans="1:10" x14ac:dyDescent="0.25">
      <c r="A250" s="52" t="s">
        <v>258</v>
      </c>
      <c r="B250" s="53">
        <v>45677</v>
      </c>
      <c r="C250" s="52" t="s">
        <v>1013</v>
      </c>
      <c r="D250" s="52" t="s">
        <v>1022</v>
      </c>
      <c r="E250" s="52">
        <v>285</v>
      </c>
      <c r="F250" s="52">
        <v>1022</v>
      </c>
      <c r="G250" s="52">
        <v>291270</v>
      </c>
      <c r="H250" s="52" t="s">
        <v>1030</v>
      </c>
      <c r="I250" s="52" t="s">
        <v>1029</v>
      </c>
      <c r="J250" s="53" t="s">
        <v>1031</v>
      </c>
    </row>
    <row r="251" spans="1:10" x14ac:dyDescent="0.25">
      <c r="A251" s="52" t="s">
        <v>259</v>
      </c>
      <c r="B251" s="53">
        <v>45844</v>
      </c>
      <c r="C251" s="52" t="s">
        <v>1012</v>
      </c>
      <c r="D251" s="52" t="s">
        <v>1024</v>
      </c>
      <c r="E251" s="52">
        <v>156</v>
      </c>
      <c r="F251" s="52">
        <v>424</v>
      </c>
      <c r="G251" s="52">
        <v>66144</v>
      </c>
      <c r="H251" s="52" t="s">
        <v>1025</v>
      </c>
      <c r="I251" s="52" t="s">
        <v>1026</v>
      </c>
      <c r="J251" s="53" t="s">
        <v>1031</v>
      </c>
    </row>
    <row r="252" spans="1:10" x14ac:dyDescent="0.25">
      <c r="A252" s="52" t="s">
        <v>260</v>
      </c>
      <c r="B252" s="53">
        <v>45990</v>
      </c>
      <c r="C252" s="52" t="s">
        <v>1012</v>
      </c>
      <c r="D252" s="52" t="s">
        <v>1018</v>
      </c>
      <c r="E252" s="52">
        <v>239</v>
      </c>
      <c r="F252" s="52">
        <v>212</v>
      </c>
      <c r="G252" s="52">
        <v>50668</v>
      </c>
      <c r="H252" s="52" t="s">
        <v>1030</v>
      </c>
      <c r="I252" s="52" t="s">
        <v>1029</v>
      </c>
      <c r="J252" s="53" t="s">
        <v>1031</v>
      </c>
    </row>
    <row r="253" spans="1:10" x14ac:dyDescent="0.25">
      <c r="A253" s="52" t="s">
        <v>261</v>
      </c>
      <c r="B253" s="53">
        <v>45979</v>
      </c>
      <c r="C253" s="52" t="s">
        <v>1012</v>
      </c>
      <c r="D253" s="52" t="s">
        <v>1016</v>
      </c>
      <c r="E253" s="52">
        <v>407</v>
      </c>
      <c r="F253" s="52">
        <v>705</v>
      </c>
      <c r="G253" s="52">
        <v>286935</v>
      </c>
      <c r="H253" s="52" t="s">
        <v>1030</v>
      </c>
      <c r="I253" s="52" t="s">
        <v>1029</v>
      </c>
      <c r="J253" s="53" t="s">
        <v>1031</v>
      </c>
    </row>
    <row r="254" spans="1:10" x14ac:dyDescent="0.25">
      <c r="A254" s="52" t="s">
        <v>262</v>
      </c>
      <c r="B254" s="53">
        <v>45860</v>
      </c>
      <c r="C254" s="52" t="s">
        <v>1012</v>
      </c>
      <c r="D254" s="52" t="s">
        <v>1020</v>
      </c>
      <c r="E254" s="52">
        <v>184</v>
      </c>
      <c r="F254" s="52">
        <v>727</v>
      </c>
      <c r="G254" s="52">
        <v>133768</v>
      </c>
      <c r="H254" s="52" t="s">
        <v>1025</v>
      </c>
      <c r="I254" s="52" t="s">
        <v>1029</v>
      </c>
      <c r="J254" s="53" t="s">
        <v>1031</v>
      </c>
    </row>
    <row r="255" spans="1:10" x14ac:dyDescent="0.25">
      <c r="A255" s="52" t="s">
        <v>263</v>
      </c>
      <c r="B255" s="53">
        <v>45732</v>
      </c>
      <c r="C255" s="52" t="s">
        <v>1010</v>
      </c>
      <c r="D255" s="52" t="s">
        <v>1020</v>
      </c>
      <c r="E255" s="52">
        <v>448</v>
      </c>
      <c r="F255" s="52">
        <v>634</v>
      </c>
      <c r="G255" s="52">
        <v>284032</v>
      </c>
      <c r="H255" s="52" t="s">
        <v>1025</v>
      </c>
      <c r="I255" s="52" t="s">
        <v>1026</v>
      </c>
      <c r="J255" s="53" t="s">
        <v>1031</v>
      </c>
    </row>
    <row r="256" spans="1:10" x14ac:dyDescent="0.25">
      <c r="A256" s="52" t="s">
        <v>264</v>
      </c>
      <c r="B256" s="53">
        <v>46035</v>
      </c>
      <c r="C256" s="52" t="s">
        <v>1010</v>
      </c>
      <c r="D256" s="52" t="s">
        <v>1018</v>
      </c>
      <c r="E256" s="52">
        <v>286</v>
      </c>
      <c r="F256" s="52">
        <v>111</v>
      </c>
      <c r="G256" s="52">
        <v>31746</v>
      </c>
      <c r="H256" s="52" t="s">
        <v>1025</v>
      </c>
      <c r="I256" s="52" t="s">
        <v>1028</v>
      </c>
      <c r="J256" s="53">
        <v>46046</v>
      </c>
    </row>
    <row r="257" spans="1:10" x14ac:dyDescent="0.25">
      <c r="A257" s="52" t="s">
        <v>265</v>
      </c>
      <c r="B257" s="53">
        <v>45995</v>
      </c>
      <c r="C257" s="52" t="s">
        <v>1010</v>
      </c>
      <c r="D257" s="52" t="s">
        <v>1016</v>
      </c>
      <c r="E257" s="52">
        <v>369</v>
      </c>
      <c r="F257" s="52">
        <v>736</v>
      </c>
      <c r="G257" s="52">
        <v>271584</v>
      </c>
      <c r="H257" s="52" t="s">
        <v>1030</v>
      </c>
      <c r="I257" s="52" t="s">
        <v>1028</v>
      </c>
      <c r="J257" s="53">
        <v>46003</v>
      </c>
    </row>
    <row r="258" spans="1:10" x14ac:dyDescent="0.25">
      <c r="A258" s="52" t="s">
        <v>266</v>
      </c>
      <c r="B258" s="53">
        <v>45980</v>
      </c>
      <c r="C258" s="52" t="s">
        <v>1012</v>
      </c>
      <c r="D258" s="52" t="s">
        <v>1021</v>
      </c>
      <c r="E258" s="52">
        <v>106</v>
      </c>
      <c r="F258" s="52">
        <v>1323</v>
      </c>
      <c r="G258" s="52">
        <v>140238</v>
      </c>
      <c r="H258" s="52" t="s">
        <v>1027</v>
      </c>
      <c r="I258" s="52" t="s">
        <v>1029</v>
      </c>
      <c r="J258" s="53" t="s">
        <v>1031</v>
      </c>
    </row>
    <row r="259" spans="1:10" x14ac:dyDescent="0.25">
      <c r="A259" s="52" t="s">
        <v>267</v>
      </c>
      <c r="B259" s="53">
        <v>45902</v>
      </c>
      <c r="C259" s="52" t="s">
        <v>1014</v>
      </c>
      <c r="D259" s="52" t="s">
        <v>1022</v>
      </c>
      <c r="E259" s="52">
        <v>350</v>
      </c>
      <c r="F259" s="52">
        <v>896</v>
      </c>
      <c r="G259" s="52">
        <v>313600</v>
      </c>
      <c r="H259" s="52" t="s">
        <v>1027</v>
      </c>
      <c r="I259" s="52" t="s">
        <v>1026</v>
      </c>
      <c r="J259" s="53" t="s">
        <v>1031</v>
      </c>
    </row>
    <row r="260" spans="1:10" x14ac:dyDescent="0.25">
      <c r="A260" s="52" t="s">
        <v>268</v>
      </c>
      <c r="B260" s="53">
        <v>46027</v>
      </c>
      <c r="C260" s="52" t="s">
        <v>1011</v>
      </c>
      <c r="D260" s="52" t="s">
        <v>1023</v>
      </c>
      <c r="E260" s="52">
        <v>331</v>
      </c>
      <c r="F260" s="52">
        <v>37</v>
      </c>
      <c r="G260" s="52">
        <v>12247</v>
      </c>
      <c r="H260" s="52" t="s">
        <v>1027</v>
      </c>
      <c r="I260" s="52" t="s">
        <v>1028</v>
      </c>
      <c r="J260" s="53">
        <v>46034</v>
      </c>
    </row>
    <row r="261" spans="1:10" x14ac:dyDescent="0.25">
      <c r="A261" s="52" t="s">
        <v>269</v>
      </c>
      <c r="B261" s="53">
        <v>45841</v>
      </c>
      <c r="C261" s="52" t="s">
        <v>1011</v>
      </c>
      <c r="D261" s="52" t="s">
        <v>1020</v>
      </c>
      <c r="E261" s="52">
        <v>351</v>
      </c>
      <c r="F261" s="52">
        <v>964</v>
      </c>
      <c r="G261" s="52">
        <v>338364</v>
      </c>
      <c r="H261" s="52" t="s">
        <v>1027</v>
      </c>
      <c r="I261" s="52" t="s">
        <v>1026</v>
      </c>
      <c r="J261" s="53" t="s">
        <v>1031</v>
      </c>
    </row>
    <row r="262" spans="1:10" x14ac:dyDescent="0.25">
      <c r="A262" s="52" t="s">
        <v>270</v>
      </c>
      <c r="B262" s="53">
        <v>45776</v>
      </c>
      <c r="C262" s="52" t="s">
        <v>1011</v>
      </c>
      <c r="D262" s="52" t="s">
        <v>1015</v>
      </c>
      <c r="E262" s="52">
        <v>442</v>
      </c>
      <c r="F262" s="52">
        <v>603</v>
      </c>
      <c r="G262" s="52">
        <v>266526</v>
      </c>
      <c r="H262" s="52" t="s">
        <v>1025</v>
      </c>
      <c r="I262" s="52" t="s">
        <v>1026</v>
      </c>
      <c r="J262" s="53" t="s">
        <v>1031</v>
      </c>
    </row>
    <row r="263" spans="1:10" x14ac:dyDescent="0.25">
      <c r="A263" s="52" t="s">
        <v>271</v>
      </c>
      <c r="B263" s="53">
        <v>45727</v>
      </c>
      <c r="C263" s="52" t="s">
        <v>1013</v>
      </c>
      <c r="D263" s="52" t="s">
        <v>1023</v>
      </c>
      <c r="E263" s="52">
        <v>404</v>
      </c>
      <c r="F263" s="52">
        <v>1770</v>
      </c>
      <c r="G263" s="52">
        <v>715080</v>
      </c>
      <c r="H263" s="52" t="s">
        <v>1030</v>
      </c>
      <c r="I263" s="52" t="s">
        <v>1028</v>
      </c>
      <c r="J263" s="53">
        <v>45741</v>
      </c>
    </row>
    <row r="264" spans="1:10" x14ac:dyDescent="0.25">
      <c r="A264" s="52" t="s">
        <v>272</v>
      </c>
      <c r="B264" s="53">
        <v>45674</v>
      </c>
      <c r="C264" s="52" t="s">
        <v>1013</v>
      </c>
      <c r="D264" s="52" t="s">
        <v>1023</v>
      </c>
      <c r="E264" s="52">
        <v>170</v>
      </c>
      <c r="F264" s="52">
        <v>1004</v>
      </c>
      <c r="G264" s="52">
        <v>170680</v>
      </c>
      <c r="H264" s="52" t="s">
        <v>1025</v>
      </c>
      <c r="I264" s="52" t="s">
        <v>1028</v>
      </c>
      <c r="J264" s="53">
        <v>45680</v>
      </c>
    </row>
    <row r="265" spans="1:10" x14ac:dyDescent="0.25">
      <c r="A265" s="52" t="s">
        <v>273</v>
      </c>
      <c r="B265" s="53">
        <v>45923</v>
      </c>
      <c r="C265" s="52" t="s">
        <v>1011</v>
      </c>
      <c r="D265" s="52" t="s">
        <v>1021</v>
      </c>
      <c r="E265" s="52">
        <v>306</v>
      </c>
      <c r="F265" s="52">
        <v>1985</v>
      </c>
      <c r="G265" s="52">
        <v>607410</v>
      </c>
      <c r="H265" s="52" t="s">
        <v>1030</v>
      </c>
      <c r="I265" s="52" t="s">
        <v>1026</v>
      </c>
      <c r="J265" s="53" t="s">
        <v>1031</v>
      </c>
    </row>
    <row r="266" spans="1:10" x14ac:dyDescent="0.25">
      <c r="A266" s="52" t="s">
        <v>274</v>
      </c>
      <c r="B266" s="53">
        <v>45687</v>
      </c>
      <c r="C266" s="52" t="s">
        <v>1013</v>
      </c>
      <c r="D266" s="52" t="s">
        <v>1020</v>
      </c>
      <c r="E266" s="52">
        <v>114</v>
      </c>
      <c r="F266" s="52">
        <v>1939</v>
      </c>
      <c r="G266" s="52">
        <v>221046</v>
      </c>
      <c r="H266" s="52" t="s">
        <v>1030</v>
      </c>
      <c r="I266" s="52" t="s">
        <v>1029</v>
      </c>
      <c r="J266" s="53" t="s">
        <v>1031</v>
      </c>
    </row>
    <row r="267" spans="1:10" x14ac:dyDescent="0.25">
      <c r="A267" s="52" t="s">
        <v>275</v>
      </c>
      <c r="B267" s="53">
        <v>45912</v>
      </c>
      <c r="C267" s="52" t="s">
        <v>1014</v>
      </c>
      <c r="D267" s="52" t="s">
        <v>1021</v>
      </c>
      <c r="E267" s="52">
        <v>407</v>
      </c>
      <c r="F267" s="52">
        <v>1549</v>
      </c>
      <c r="G267" s="52">
        <v>630443</v>
      </c>
      <c r="H267" s="52" t="s">
        <v>1025</v>
      </c>
      <c r="I267" s="52" t="s">
        <v>1028</v>
      </c>
      <c r="J267" s="53">
        <v>45926</v>
      </c>
    </row>
    <row r="268" spans="1:10" x14ac:dyDescent="0.25">
      <c r="A268" s="52" t="s">
        <v>276</v>
      </c>
      <c r="B268" s="53">
        <v>46024</v>
      </c>
      <c r="C268" s="52" t="s">
        <v>1011</v>
      </c>
      <c r="D268" s="52" t="s">
        <v>1020</v>
      </c>
      <c r="E268" s="52">
        <v>413</v>
      </c>
      <c r="F268" s="52">
        <v>691</v>
      </c>
      <c r="G268" s="52">
        <v>285383</v>
      </c>
      <c r="H268" s="52" t="s">
        <v>1030</v>
      </c>
      <c r="I268" s="52" t="s">
        <v>1029</v>
      </c>
      <c r="J268" s="53" t="s">
        <v>1031</v>
      </c>
    </row>
    <row r="269" spans="1:10" x14ac:dyDescent="0.25">
      <c r="A269" s="52" t="s">
        <v>277</v>
      </c>
      <c r="B269" s="53">
        <v>45916</v>
      </c>
      <c r="C269" s="52" t="s">
        <v>1011</v>
      </c>
      <c r="D269" s="52" t="s">
        <v>1024</v>
      </c>
      <c r="E269" s="52">
        <v>264</v>
      </c>
      <c r="F269" s="52">
        <v>1643</v>
      </c>
      <c r="G269" s="52">
        <v>433752</v>
      </c>
      <c r="H269" s="52" t="s">
        <v>1030</v>
      </c>
      <c r="I269" s="52" t="s">
        <v>1029</v>
      </c>
      <c r="J269" s="53" t="s">
        <v>1031</v>
      </c>
    </row>
    <row r="270" spans="1:10" x14ac:dyDescent="0.25">
      <c r="A270" s="52" t="s">
        <v>278</v>
      </c>
      <c r="B270" s="53">
        <v>46036</v>
      </c>
      <c r="C270" s="52" t="s">
        <v>1012</v>
      </c>
      <c r="D270" s="52" t="s">
        <v>1023</v>
      </c>
      <c r="E270" s="52">
        <v>471</v>
      </c>
      <c r="F270" s="52">
        <v>1836</v>
      </c>
      <c r="G270" s="52">
        <v>864756</v>
      </c>
      <c r="H270" s="52" t="s">
        <v>1027</v>
      </c>
      <c r="I270" s="52" t="s">
        <v>1026</v>
      </c>
      <c r="J270" s="53" t="s">
        <v>1031</v>
      </c>
    </row>
    <row r="271" spans="1:10" x14ac:dyDescent="0.25">
      <c r="A271" s="52" t="s">
        <v>279</v>
      </c>
      <c r="B271" s="53">
        <v>45929</v>
      </c>
      <c r="C271" s="52" t="s">
        <v>1011</v>
      </c>
      <c r="D271" s="52" t="s">
        <v>1016</v>
      </c>
      <c r="E271" s="52">
        <v>481</v>
      </c>
      <c r="F271" s="52">
        <v>606</v>
      </c>
      <c r="G271" s="52">
        <v>291486</v>
      </c>
      <c r="H271" s="52" t="s">
        <v>1030</v>
      </c>
      <c r="I271" s="52" t="s">
        <v>1028</v>
      </c>
      <c r="J271" s="53">
        <v>45935</v>
      </c>
    </row>
    <row r="272" spans="1:10" x14ac:dyDescent="0.25">
      <c r="A272" s="52" t="s">
        <v>280</v>
      </c>
      <c r="B272" s="53">
        <v>45793</v>
      </c>
      <c r="C272" s="52" t="s">
        <v>1011</v>
      </c>
      <c r="D272" s="52" t="s">
        <v>1020</v>
      </c>
      <c r="E272" s="52">
        <v>437</v>
      </c>
      <c r="F272" s="52">
        <v>1988</v>
      </c>
      <c r="G272" s="52">
        <v>868756</v>
      </c>
      <c r="H272" s="52" t="s">
        <v>1030</v>
      </c>
      <c r="I272" s="52" t="s">
        <v>1028</v>
      </c>
      <c r="J272" s="53">
        <v>45808</v>
      </c>
    </row>
    <row r="273" spans="1:10" x14ac:dyDescent="0.25">
      <c r="A273" s="52" t="s">
        <v>281</v>
      </c>
      <c r="B273" s="53">
        <v>46028</v>
      </c>
      <c r="C273" s="52" t="s">
        <v>1011</v>
      </c>
      <c r="D273" s="52" t="s">
        <v>1015</v>
      </c>
      <c r="E273" s="52">
        <v>392</v>
      </c>
      <c r="F273" s="52">
        <v>1137</v>
      </c>
      <c r="G273" s="52">
        <v>445704</v>
      </c>
      <c r="H273" s="52" t="s">
        <v>1030</v>
      </c>
      <c r="I273" s="52" t="s">
        <v>1029</v>
      </c>
      <c r="J273" s="53" t="s">
        <v>1031</v>
      </c>
    </row>
    <row r="274" spans="1:10" x14ac:dyDescent="0.25">
      <c r="A274" s="52" t="s">
        <v>282</v>
      </c>
      <c r="B274" s="53">
        <v>45818</v>
      </c>
      <c r="C274" s="52" t="s">
        <v>1014</v>
      </c>
      <c r="D274" s="52" t="s">
        <v>1022</v>
      </c>
      <c r="E274" s="52">
        <v>495</v>
      </c>
      <c r="F274" s="52">
        <v>1280</v>
      </c>
      <c r="G274" s="52">
        <v>633600</v>
      </c>
      <c r="H274" s="52" t="s">
        <v>1027</v>
      </c>
      <c r="I274" s="52" t="s">
        <v>1029</v>
      </c>
      <c r="J274" s="53" t="s">
        <v>1031</v>
      </c>
    </row>
    <row r="275" spans="1:10" x14ac:dyDescent="0.25">
      <c r="A275" s="52" t="s">
        <v>283</v>
      </c>
      <c r="B275" s="53">
        <v>45884</v>
      </c>
      <c r="C275" s="52" t="s">
        <v>1011</v>
      </c>
      <c r="D275" s="52" t="s">
        <v>1021</v>
      </c>
      <c r="E275" s="52">
        <v>362</v>
      </c>
      <c r="F275" s="52">
        <v>1941</v>
      </c>
      <c r="G275" s="52">
        <v>702642</v>
      </c>
      <c r="H275" s="52" t="s">
        <v>1027</v>
      </c>
      <c r="I275" s="52" t="s">
        <v>1029</v>
      </c>
      <c r="J275" s="53" t="s">
        <v>1031</v>
      </c>
    </row>
    <row r="276" spans="1:10" x14ac:dyDescent="0.25">
      <c r="A276" s="52" t="s">
        <v>284</v>
      </c>
      <c r="B276" s="53">
        <v>45803</v>
      </c>
      <c r="C276" s="52" t="s">
        <v>1012</v>
      </c>
      <c r="D276" s="52" t="s">
        <v>1017</v>
      </c>
      <c r="E276" s="52">
        <v>28</v>
      </c>
      <c r="F276" s="52">
        <v>292</v>
      </c>
      <c r="G276" s="52">
        <v>8176</v>
      </c>
      <c r="H276" s="52" t="s">
        <v>1027</v>
      </c>
      <c r="I276" s="52" t="s">
        <v>1029</v>
      </c>
      <c r="J276" s="53" t="s">
        <v>1031</v>
      </c>
    </row>
    <row r="277" spans="1:10" x14ac:dyDescent="0.25">
      <c r="A277" s="52" t="s">
        <v>285</v>
      </c>
      <c r="B277" s="53">
        <v>45680</v>
      </c>
      <c r="C277" s="52" t="s">
        <v>1010</v>
      </c>
      <c r="D277" s="52" t="s">
        <v>1016</v>
      </c>
      <c r="E277" s="52">
        <v>370</v>
      </c>
      <c r="F277" s="52">
        <v>864</v>
      </c>
      <c r="G277" s="52">
        <v>319680</v>
      </c>
      <c r="H277" s="52" t="s">
        <v>1027</v>
      </c>
      <c r="I277" s="52" t="s">
        <v>1029</v>
      </c>
      <c r="J277" s="53" t="s">
        <v>1031</v>
      </c>
    </row>
    <row r="278" spans="1:10" x14ac:dyDescent="0.25">
      <c r="A278" s="52" t="s">
        <v>286</v>
      </c>
      <c r="B278" s="53">
        <v>45909</v>
      </c>
      <c r="C278" s="52" t="s">
        <v>1012</v>
      </c>
      <c r="D278" s="52" t="s">
        <v>1020</v>
      </c>
      <c r="E278" s="52">
        <v>202</v>
      </c>
      <c r="F278" s="52">
        <v>1419</v>
      </c>
      <c r="G278" s="52">
        <v>286638</v>
      </c>
      <c r="H278" s="52" t="s">
        <v>1025</v>
      </c>
      <c r="I278" s="52" t="s">
        <v>1026</v>
      </c>
      <c r="J278" s="53" t="s">
        <v>1031</v>
      </c>
    </row>
    <row r="279" spans="1:10" x14ac:dyDescent="0.25">
      <c r="A279" s="52" t="s">
        <v>287</v>
      </c>
      <c r="B279" s="53">
        <v>45819</v>
      </c>
      <c r="C279" s="52" t="s">
        <v>1012</v>
      </c>
      <c r="D279" s="52" t="s">
        <v>1023</v>
      </c>
      <c r="E279" s="52">
        <v>337</v>
      </c>
      <c r="F279" s="52">
        <v>1043</v>
      </c>
      <c r="G279" s="52">
        <v>351491</v>
      </c>
      <c r="H279" s="52" t="s">
        <v>1027</v>
      </c>
      <c r="I279" s="52" t="s">
        <v>1029</v>
      </c>
      <c r="J279" s="53" t="s">
        <v>1031</v>
      </c>
    </row>
    <row r="280" spans="1:10" x14ac:dyDescent="0.25">
      <c r="A280" s="52" t="s">
        <v>288</v>
      </c>
      <c r="B280" s="53">
        <v>45929</v>
      </c>
      <c r="C280" s="52" t="s">
        <v>1010</v>
      </c>
      <c r="D280" s="52" t="s">
        <v>1019</v>
      </c>
      <c r="E280" s="52">
        <v>102</v>
      </c>
      <c r="F280" s="52">
        <v>753</v>
      </c>
      <c r="G280" s="52">
        <v>76806</v>
      </c>
      <c r="H280" s="52" t="s">
        <v>1025</v>
      </c>
      <c r="I280" s="52" t="s">
        <v>1029</v>
      </c>
      <c r="J280" s="53" t="s">
        <v>1031</v>
      </c>
    </row>
    <row r="281" spans="1:10" x14ac:dyDescent="0.25">
      <c r="A281" s="52" t="s">
        <v>289</v>
      </c>
      <c r="B281" s="53">
        <v>45672</v>
      </c>
      <c r="C281" s="52" t="s">
        <v>1014</v>
      </c>
      <c r="D281" s="52" t="s">
        <v>1024</v>
      </c>
      <c r="E281" s="52">
        <v>185</v>
      </c>
      <c r="F281" s="52">
        <v>1692</v>
      </c>
      <c r="G281" s="52">
        <v>313020</v>
      </c>
      <c r="H281" s="52" t="s">
        <v>1025</v>
      </c>
      <c r="I281" s="52" t="s">
        <v>1029</v>
      </c>
      <c r="J281" s="53" t="s">
        <v>1031</v>
      </c>
    </row>
    <row r="282" spans="1:10" x14ac:dyDescent="0.25">
      <c r="A282" s="52" t="s">
        <v>290</v>
      </c>
      <c r="B282" s="53">
        <v>45847</v>
      </c>
      <c r="C282" s="52" t="s">
        <v>1010</v>
      </c>
      <c r="D282" s="52" t="s">
        <v>1018</v>
      </c>
      <c r="E282" s="52">
        <v>309</v>
      </c>
      <c r="F282" s="52">
        <v>1328</v>
      </c>
      <c r="G282" s="52">
        <v>410352</v>
      </c>
      <c r="H282" s="52" t="s">
        <v>1027</v>
      </c>
      <c r="I282" s="52" t="s">
        <v>1029</v>
      </c>
      <c r="J282" s="53" t="s">
        <v>1031</v>
      </c>
    </row>
    <row r="283" spans="1:10" x14ac:dyDescent="0.25">
      <c r="A283" s="52" t="s">
        <v>291</v>
      </c>
      <c r="B283" s="53">
        <v>45887</v>
      </c>
      <c r="C283" s="52" t="s">
        <v>1014</v>
      </c>
      <c r="D283" s="52" t="s">
        <v>1021</v>
      </c>
      <c r="E283" s="52">
        <v>438</v>
      </c>
      <c r="F283" s="52">
        <v>178</v>
      </c>
      <c r="G283" s="52">
        <v>77964</v>
      </c>
      <c r="H283" s="52" t="s">
        <v>1027</v>
      </c>
      <c r="I283" s="52" t="s">
        <v>1028</v>
      </c>
      <c r="J283" s="53">
        <v>45897</v>
      </c>
    </row>
    <row r="284" spans="1:10" x14ac:dyDescent="0.25">
      <c r="A284" s="52" t="s">
        <v>292</v>
      </c>
      <c r="B284" s="53">
        <v>45956</v>
      </c>
      <c r="C284" s="52" t="s">
        <v>1010</v>
      </c>
      <c r="D284" s="52" t="s">
        <v>1021</v>
      </c>
      <c r="E284" s="52">
        <v>492</v>
      </c>
      <c r="F284" s="52">
        <v>1865</v>
      </c>
      <c r="G284" s="52">
        <v>917580</v>
      </c>
      <c r="H284" s="52" t="s">
        <v>1025</v>
      </c>
      <c r="I284" s="52" t="s">
        <v>1026</v>
      </c>
      <c r="J284" s="53" t="s">
        <v>1031</v>
      </c>
    </row>
    <row r="285" spans="1:10" x14ac:dyDescent="0.25">
      <c r="A285" s="52" t="s">
        <v>293</v>
      </c>
      <c r="B285" s="53">
        <v>45974</v>
      </c>
      <c r="C285" s="52" t="s">
        <v>1013</v>
      </c>
      <c r="D285" s="52" t="s">
        <v>1017</v>
      </c>
      <c r="E285" s="52">
        <v>278</v>
      </c>
      <c r="F285" s="52">
        <v>460</v>
      </c>
      <c r="G285" s="52">
        <v>127880</v>
      </c>
      <c r="H285" s="52" t="s">
        <v>1027</v>
      </c>
      <c r="I285" s="52" t="s">
        <v>1028</v>
      </c>
      <c r="J285" s="53">
        <v>45980</v>
      </c>
    </row>
    <row r="286" spans="1:10" x14ac:dyDescent="0.25">
      <c r="A286" s="52" t="s">
        <v>294</v>
      </c>
      <c r="B286" s="53">
        <v>45892</v>
      </c>
      <c r="C286" s="52" t="s">
        <v>1010</v>
      </c>
      <c r="D286" s="52" t="s">
        <v>1019</v>
      </c>
      <c r="E286" s="52">
        <v>206</v>
      </c>
      <c r="F286" s="52">
        <v>853</v>
      </c>
      <c r="G286" s="52">
        <v>175718</v>
      </c>
      <c r="H286" s="52" t="s">
        <v>1027</v>
      </c>
      <c r="I286" s="52" t="s">
        <v>1026</v>
      </c>
      <c r="J286" s="53" t="s">
        <v>1031</v>
      </c>
    </row>
    <row r="287" spans="1:10" x14ac:dyDescent="0.25">
      <c r="A287" s="52" t="s">
        <v>295</v>
      </c>
      <c r="B287" s="53">
        <v>45930</v>
      </c>
      <c r="C287" s="52" t="s">
        <v>1013</v>
      </c>
      <c r="D287" s="52" t="s">
        <v>1024</v>
      </c>
      <c r="E287" s="52">
        <v>332</v>
      </c>
      <c r="F287" s="52">
        <v>348</v>
      </c>
      <c r="G287" s="52">
        <v>115536</v>
      </c>
      <c r="H287" s="52" t="s">
        <v>1030</v>
      </c>
      <c r="I287" s="52" t="s">
        <v>1029</v>
      </c>
      <c r="J287" s="53" t="s">
        <v>1031</v>
      </c>
    </row>
    <row r="288" spans="1:10" x14ac:dyDescent="0.25">
      <c r="A288" s="52" t="s">
        <v>296</v>
      </c>
      <c r="B288" s="53">
        <v>45778</v>
      </c>
      <c r="C288" s="52" t="s">
        <v>1010</v>
      </c>
      <c r="D288" s="52" t="s">
        <v>1020</v>
      </c>
      <c r="E288" s="52">
        <v>144</v>
      </c>
      <c r="F288" s="52">
        <v>541</v>
      </c>
      <c r="G288" s="52">
        <v>77904</v>
      </c>
      <c r="H288" s="52" t="s">
        <v>1025</v>
      </c>
      <c r="I288" s="52" t="s">
        <v>1028</v>
      </c>
      <c r="J288" s="53">
        <v>45788</v>
      </c>
    </row>
    <row r="289" spans="1:10" x14ac:dyDescent="0.25">
      <c r="A289" s="52" t="s">
        <v>297</v>
      </c>
      <c r="B289" s="53">
        <v>45772</v>
      </c>
      <c r="C289" s="52" t="s">
        <v>1013</v>
      </c>
      <c r="D289" s="52" t="s">
        <v>1015</v>
      </c>
      <c r="E289" s="52">
        <v>337</v>
      </c>
      <c r="F289" s="52">
        <v>740</v>
      </c>
      <c r="G289" s="52">
        <v>249380</v>
      </c>
      <c r="H289" s="52" t="s">
        <v>1025</v>
      </c>
      <c r="I289" s="52" t="s">
        <v>1029</v>
      </c>
      <c r="J289" s="53" t="s">
        <v>1031</v>
      </c>
    </row>
    <row r="290" spans="1:10" x14ac:dyDescent="0.25">
      <c r="A290" s="52" t="s">
        <v>298</v>
      </c>
      <c r="B290" s="53">
        <v>45711</v>
      </c>
      <c r="C290" s="52" t="s">
        <v>1010</v>
      </c>
      <c r="D290" s="52" t="s">
        <v>1023</v>
      </c>
      <c r="E290" s="52">
        <v>224</v>
      </c>
      <c r="F290" s="52">
        <v>1935</v>
      </c>
      <c r="G290" s="52">
        <v>433440</v>
      </c>
      <c r="H290" s="52" t="s">
        <v>1030</v>
      </c>
      <c r="I290" s="52" t="s">
        <v>1028</v>
      </c>
      <c r="J290" s="53">
        <v>45723</v>
      </c>
    </row>
    <row r="291" spans="1:10" x14ac:dyDescent="0.25">
      <c r="A291" s="52" t="s">
        <v>299</v>
      </c>
      <c r="B291" s="53">
        <v>45712</v>
      </c>
      <c r="C291" s="52" t="s">
        <v>1014</v>
      </c>
      <c r="D291" s="52" t="s">
        <v>1015</v>
      </c>
      <c r="E291" s="52">
        <v>466</v>
      </c>
      <c r="F291" s="52">
        <v>415</v>
      </c>
      <c r="G291" s="52">
        <v>193390</v>
      </c>
      <c r="H291" s="52" t="s">
        <v>1027</v>
      </c>
      <c r="I291" s="52" t="s">
        <v>1028</v>
      </c>
      <c r="J291" s="53">
        <v>45719</v>
      </c>
    </row>
    <row r="292" spans="1:10" x14ac:dyDescent="0.25">
      <c r="A292" s="52" t="s">
        <v>300</v>
      </c>
      <c r="B292" s="53">
        <v>45912</v>
      </c>
      <c r="C292" s="52" t="s">
        <v>1014</v>
      </c>
      <c r="D292" s="52" t="s">
        <v>1016</v>
      </c>
      <c r="E292" s="52">
        <v>380</v>
      </c>
      <c r="F292" s="52">
        <v>816</v>
      </c>
      <c r="G292" s="52">
        <v>310080</v>
      </c>
      <c r="H292" s="52" t="s">
        <v>1027</v>
      </c>
      <c r="I292" s="52" t="s">
        <v>1026</v>
      </c>
      <c r="J292" s="53" t="s">
        <v>1031</v>
      </c>
    </row>
    <row r="293" spans="1:10" x14ac:dyDescent="0.25">
      <c r="A293" s="52" t="s">
        <v>301</v>
      </c>
      <c r="B293" s="53">
        <v>45822</v>
      </c>
      <c r="C293" s="52" t="s">
        <v>1013</v>
      </c>
      <c r="D293" s="52" t="s">
        <v>1018</v>
      </c>
      <c r="E293" s="52">
        <v>29</v>
      </c>
      <c r="F293" s="52">
        <v>289</v>
      </c>
      <c r="G293" s="52">
        <v>8381</v>
      </c>
      <c r="H293" s="52" t="s">
        <v>1027</v>
      </c>
      <c r="I293" s="52" t="s">
        <v>1028</v>
      </c>
      <c r="J293" s="53">
        <v>45829</v>
      </c>
    </row>
    <row r="294" spans="1:10" x14ac:dyDescent="0.25">
      <c r="A294" s="52" t="s">
        <v>302</v>
      </c>
      <c r="B294" s="53">
        <v>45851</v>
      </c>
      <c r="C294" s="52" t="s">
        <v>1013</v>
      </c>
      <c r="D294" s="52" t="s">
        <v>1021</v>
      </c>
      <c r="E294" s="52">
        <v>139</v>
      </c>
      <c r="F294" s="52">
        <v>832</v>
      </c>
      <c r="G294" s="52">
        <v>115648</v>
      </c>
      <c r="H294" s="52" t="s">
        <v>1027</v>
      </c>
      <c r="I294" s="52" t="s">
        <v>1026</v>
      </c>
      <c r="J294" s="53" t="s">
        <v>1031</v>
      </c>
    </row>
    <row r="295" spans="1:10" x14ac:dyDescent="0.25">
      <c r="A295" s="52" t="s">
        <v>303</v>
      </c>
      <c r="B295" s="53">
        <v>45737</v>
      </c>
      <c r="C295" s="52" t="s">
        <v>1010</v>
      </c>
      <c r="D295" s="52" t="s">
        <v>1016</v>
      </c>
      <c r="E295" s="52">
        <v>138</v>
      </c>
      <c r="F295" s="52">
        <v>1340</v>
      </c>
      <c r="G295" s="52">
        <v>184920</v>
      </c>
      <c r="H295" s="52" t="s">
        <v>1025</v>
      </c>
      <c r="I295" s="52" t="s">
        <v>1026</v>
      </c>
      <c r="J295" s="53" t="s">
        <v>1031</v>
      </c>
    </row>
    <row r="296" spans="1:10" x14ac:dyDescent="0.25">
      <c r="A296" s="52" t="s">
        <v>304</v>
      </c>
      <c r="B296" s="53">
        <v>46010</v>
      </c>
      <c r="C296" s="52" t="s">
        <v>1014</v>
      </c>
      <c r="D296" s="52" t="s">
        <v>1020</v>
      </c>
      <c r="E296" s="52">
        <v>110</v>
      </c>
      <c r="F296" s="52">
        <v>1440</v>
      </c>
      <c r="G296" s="52">
        <v>158400</v>
      </c>
      <c r="H296" s="52" t="s">
        <v>1030</v>
      </c>
      <c r="I296" s="52" t="s">
        <v>1029</v>
      </c>
      <c r="J296" s="53" t="s">
        <v>1031</v>
      </c>
    </row>
    <row r="297" spans="1:10" x14ac:dyDescent="0.25">
      <c r="A297" s="52" t="s">
        <v>305</v>
      </c>
      <c r="B297" s="53">
        <v>45788</v>
      </c>
      <c r="C297" s="52" t="s">
        <v>1013</v>
      </c>
      <c r="D297" s="52" t="s">
        <v>1022</v>
      </c>
      <c r="E297" s="52">
        <v>23</v>
      </c>
      <c r="F297" s="52">
        <v>393</v>
      </c>
      <c r="G297" s="52">
        <v>9039</v>
      </c>
      <c r="H297" s="52" t="s">
        <v>1030</v>
      </c>
      <c r="I297" s="52" t="s">
        <v>1029</v>
      </c>
      <c r="J297" s="53" t="s">
        <v>1031</v>
      </c>
    </row>
    <row r="298" spans="1:10" x14ac:dyDescent="0.25">
      <c r="A298" s="52" t="s">
        <v>306</v>
      </c>
      <c r="B298" s="53">
        <v>45826</v>
      </c>
      <c r="C298" s="52" t="s">
        <v>1011</v>
      </c>
      <c r="D298" s="52" t="s">
        <v>1019</v>
      </c>
      <c r="E298" s="52">
        <v>230</v>
      </c>
      <c r="F298" s="52">
        <v>1264</v>
      </c>
      <c r="G298" s="52">
        <v>290720</v>
      </c>
      <c r="H298" s="52" t="s">
        <v>1025</v>
      </c>
      <c r="I298" s="52" t="s">
        <v>1026</v>
      </c>
      <c r="J298" s="53" t="s">
        <v>1031</v>
      </c>
    </row>
    <row r="299" spans="1:10" x14ac:dyDescent="0.25">
      <c r="A299" s="52" t="s">
        <v>307</v>
      </c>
      <c r="B299" s="53">
        <v>45796</v>
      </c>
      <c r="C299" s="52" t="s">
        <v>1013</v>
      </c>
      <c r="D299" s="52" t="s">
        <v>1018</v>
      </c>
      <c r="E299" s="52">
        <v>339</v>
      </c>
      <c r="F299" s="52">
        <v>375</v>
      </c>
      <c r="G299" s="52">
        <v>127125</v>
      </c>
      <c r="H299" s="52" t="s">
        <v>1030</v>
      </c>
      <c r="I299" s="52" t="s">
        <v>1026</v>
      </c>
      <c r="J299" s="53" t="s">
        <v>1031</v>
      </c>
    </row>
    <row r="300" spans="1:10" x14ac:dyDescent="0.25">
      <c r="A300" s="52" t="s">
        <v>308</v>
      </c>
      <c r="B300" s="53">
        <v>45751</v>
      </c>
      <c r="C300" s="52" t="s">
        <v>1011</v>
      </c>
      <c r="D300" s="52" t="s">
        <v>1016</v>
      </c>
      <c r="E300" s="52">
        <v>91</v>
      </c>
      <c r="F300" s="52">
        <v>558</v>
      </c>
      <c r="G300" s="52">
        <v>50778</v>
      </c>
      <c r="H300" s="52" t="s">
        <v>1027</v>
      </c>
      <c r="I300" s="52" t="s">
        <v>1026</v>
      </c>
      <c r="J300" s="53" t="s">
        <v>1031</v>
      </c>
    </row>
    <row r="301" spans="1:10" x14ac:dyDescent="0.25">
      <c r="A301" s="52" t="s">
        <v>309</v>
      </c>
      <c r="B301" s="53">
        <v>45898</v>
      </c>
      <c r="C301" s="52" t="s">
        <v>1010</v>
      </c>
      <c r="D301" s="52" t="s">
        <v>1019</v>
      </c>
      <c r="E301" s="52">
        <v>497</v>
      </c>
      <c r="F301" s="52">
        <v>971</v>
      </c>
      <c r="G301" s="52">
        <v>482587</v>
      </c>
      <c r="H301" s="52" t="s">
        <v>1030</v>
      </c>
      <c r="I301" s="52" t="s">
        <v>1029</v>
      </c>
      <c r="J301" s="53" t="s">
        <v>1031</v>
      </c>
    </row>
    <row r="302" spans="1:10" x14ac:dyDescent="0.25">
      <c r="A302" s="52" t="s">
        <v>310</v>
      </c>
      <c r="B302" s="53">
        <v>45696</v>
      </c>
      <c r="C302" s="52" t="s">
        <v>1014</v>
      </c>
      <c r="D302" s="52" t="s">
        <v>1022</v>
      </c>
      <c r="E302" s="52">
        <v>136</v>
      </c>
      <c r="F302" s="52">
        <v>1864</v>
      </c>
      <c r="G302" s="52">
        <v>253504</v>
      </c>
      <c r="H302" s="52" t="s">
        <v>1027</v>
      </c>
      <c r="I302" s="52" t="s">
        <v>1029</v>
      </c>
      <c r="J302" s="53" t="s">
        <v>1031</v>
      </c>
    </row>
    <row r="303" spans="1:10" x14ac:dyDescent="0.25">
      <c r="A303" s="52" t="s">
        <v>311</v>
      </c>
      <c r="B303" s="53">
        <v>45986</v>
      </c>
      <c r="C303" s="52" t="s">
        <v>1010</v>
      </c>
      <c r="D303" s="52" t="s">
        <v>1015</v>
      </c>
      <c r="E303" s="52">
        <v>414</v>
      </c>
      <c r="F303" s="52">
        <v>926</v>
      </c>
      <c r="G303" s="52">
        <v>383364</v>
      </c>
      <c r="H303" s="52" t="s">
        <v>1027</v>
      </c>
      <c r="I303" s="52" t="s">
        <v>1029</v>
      </c>
      <c r="J303" s="53" t="s">
        <v>1031</v>
      </c>
    </row>
    <row r="304" spans="1:10" x14ac:dyDescent="0.25">
      <c r="A304" s="52" t="s">
        <v>312</v>
      </c>
      <c r="B304" s="53">
        <v>45890</v>
      </c>
      <c r="C304" s="52" t="s">
        <v>1010</v>
      </c>
      <c r="D304" s="52" t="s">
        <v>1022</v>
      </c>
      <c r="E304" s="52">
        <v>298</v>
      </c>
      <c r="F304" s="52">
        <v>1655</v>
      </c>
      <c r="G304" s="52">
        <v>493190</v>
      </c>
      <c r="H304" s="52" t="s">
        <v>1025</v>
      </c>
      <c r="I304" s="52" t="s">
        <v>1028</v>
      </c>
      <c r="J304" s="53">
        <v>45905</v>
      </c>
    </row>
    <row r="305" spans="1:10" x14ac:dyDescent="0.25">
      <c r="A305" s="52" t="s">
        <v>313</v>
      </c>
      <c r="B305" s="53">
        <v>46023</v>
      </c>
      <c r="C305" s="52" t="s">
        <v>1013</v>
      </c>
      <c r="D305" s="52" t="s">
        <v>1018</v>
      </c>
      <c r="E305" s="52">
        <v>490</v>
      </c>
      <c r="F305" s="52">
        <v>240</v>
      </c>
      <c r="G305" s="52">
        <v>117600</v>
      </c>
      <c r="H305" s="52" t="s">
        <v>1025</v>
      </c>
      <c r="I305" s="52" t="s">
        <v>1026</v>
      </c>
      <c r="J305" s="53" t="s">
        <v>1031</v>
      </c>
    </row>
    <row r="306" spans="1:10" x14ac:dyDescent="0.25">
      <c r="A306" s="52" t="s">
        <v>314</v>
      </c>
      <c r="B306" s="53">
        <v>46037</v>
      </c>
      <c r="C306" s="52" t="s">
        <v>1011</v>
      </c>
      <c r="D306" s="52" t="s">
        <v>1022</v>
      </c>
      <c r="E306" s="52">
        <v>148</v>
      </c>
      <c r="F306" s="52">
        <v>599</v>
      </c>
      <c r="G306" s="52">
        <v>88652</v>
      </c>
      <c r="H306" s="52" t="s">
        <v>1025</v>
      </c>
      <c r="I306" s="52" t="s">
        <v>1029</v>
      </c>
      <c r="J306" s="53" t="s">
        <v>1031</v>
      </c>
    </row>
    <row r="307" spans="1:10" x14ac:dyDescent="0.25">
      <c r="A307" s="52" t="s">
        <v>315</v>
      </c>
      <c r="B307" s="53">
        <v>45751</v>
      </c>
      <c r="C307" s="52" t="s">
        <v>1014</v>
      </c>
      <c r="D307" s="52" t="s">
        <v>1016</v>
      </c>
      <c r="E307" s="52">
        <v>493</v>
      </c>
      <c r="F307" s="52">
        <v>143</v>
      </c>
      <c r="G307" s="52">
        <v>70499</v>
      </c>
      <c r="H307" s="52" t="s">
        <v>1030</v>
      </c>
      <c r="I307" s="52" t="s">
        <v>1029</v>
      </c>
      <c r="J307" s="53" t="s">
        <v>1031</v>
      </c>
    </row>
    <row r="308" spans="1:10" x14ac:dyDescent="0.25">
      <c r="A308" s="52" t="s">
        <v>316</v>
      </c>
      <c r="B308" s="53">
        <v>45842</v>
      </c>
      <c r="C308" s="52" t="s">
        <v>1014</v>
      </c>
      <c r="D308" s="52" t="s">
        <v>1021</v>
      </c>
      <c r="E308" s="52">
        <v>303</v>
      </c>
      <c r="F308" s="52">
        <v>1150</v>
      </c>
      <c r="G308" s="52">
        <v>348450</v>
      </c>
      <c r="H308" s="52" t="s">
        <v>1025</v>
      </c>
      <c r="I308" s="52" t="s">
        <v>1029</v>
      </c>
      <c r="J308" s="53" t="s">
        <v>1031</v>
      </c>
    </row>
    <row r="309" spans="1:10" x14ac:dyDescent="0.25">
      <c r="A309" s="52" t="s">
        <v>317</v>
      </c>
      <c r="B309" s="53">
        <v>46047</v>
      </c>
      <c r="C309" s="52" t="s">
        <v>1014</v>
      </c>
      <c r="D309" s="52" t="s">
        <v>1024</v>
      </c>
      <c r="E309" s="52">
        <v>266</v>
      </c>
      <c r="F309" s="52">
        <v>1304</v>
      </c>
      <c r="G309" s="52">
        <v>346864</v>
      </c>
      <c r="H309" s="52" t="s">
        <v>1027</v>
      </c>
      <c r="I309" s="52" t="s">
        <v>1026</v>
      </c>
      <c r="J309" s="53" t="s">
        <v>1031</v>
      </c>
    </row>
    <row r="310" spans="1:10" x14ac:dyDescent="0.25">
      <c r="A310" s="52" t="s">
        <v>318</v>
      </c>
      <c r="B310" s="53">
        <v>46028</v>
      </c>
      <c r="C310" s="52" t="s">
        <v>1012</v>
      </c>
      <c r="D310" s="52" t="s">
        <v>1018</v>
      </c>
      <c r="E310" s="52">
        <v>407</v>
      </c>
      <c r="F310" s="52">
        <v>745</v>
      </c>
      <c r="G310" s="52">
        <v>303215</v>
      </c>
      <c r="H310" s="52" t="s">
        <v>1027</v>
      </c>
      <c r="I310" s="52" t="s">
        <v>1026</v>
      </c>
      <c r="J310" s="53" t="s">
        <v>1031</v>
      </c>
    </row>
    <row r="311" spans="1:10" x14ac:dyDescent="0.25">
      <c r="A311" s="52" t="s">
        <v>319</v>
      </c>
      <c r="B311" s="53">
        <v>45935</v>
      </c>
      <c r="C311" s="52" t="s">
        <v>1011</v>
      </c>
      <c r="D311" s="52" t="s">
        <v>1020</v>
      </c>
      <c r="E311" s="52">
        <v>358</v>
      </c>
      <c r="F311" s="52">
        <v>1208</v>
      </c>
      <c r="G311" s="52">
        <v>432464</v>
      </c>
      <c r="H311" s="52" t="s">
        <v>1027</v>
      </c>
      <c r="I311" s="52" t="s">
        <v>1028</v>
      </c>
      <c r="J311" s="53">
        <v>45945</v>
      </c>
    </row>
    <row r="312" spans="1:10" x14ac:dyDescent="0.25">
      <c r="A312" s="52" t="s">
        <v>320</v>
      </c>
      <c r="B312" s="53">
        <v>45876</v>
      </c>
      <c r="C312" s="52" t="s">
        <v>1014</v>
      </c>
      <c r="D312" s="52" t="s">
        <v>1015</v>
      </c>
      <c r="E312" s="52">
        <v>292</v>
      </c>
      <c r="F312" s="52">
        <v>1587</v>
      </c>
      <c r="G312" s="52">
        <v>463404</v>
      </c>
      <c r="H312" s="52" t="s">
        <v>1030</v>
      </c>
      <c r="I312" s="52" t="s">
        <v>1026</v>
      </c>
      <c r="J312" s="53" t="s">
        <v>1031</v>
      </c>
    </row>
    <row r="313" spans="1:10" x14ac:dyDescent="0.25">
      <c r="A313" s="52" t="s">
        <v>321</v>
      </c>
      <c r="B313" s="53">
        <v>45976</v>
      </c>
      <c r="C313" s="52" t="s">
        <v>1014</v>
      </c>
      <c r="D313" s="52" t="s">
        <v>1019</v>
      </c>
      <c r="E313" s="52">
        <v>445</v>
      </c>
      <c r="F313" s="52">
        <v>1521</v>
      </c>
      <c r="G313" s="52">
        <v>676845</v>
      </c>
      <c r="H313" s="52" t="s">
        <v>1027</v>
      </c>
      <c r="I313" s="52" t="s">
        <v>1028</v>
      </c>
      <c r="J313" s="53">
        <v>45983</v>
      </c>
    </row>
    <row r="314" spans="1:10" x14ac:dyDescent="0.25">
      <c r="A314" s="52" t="s">
        <v>322</v>
      </c>
      <c r="B314" s="53">
        <v>45867</v>
      </c>
      <c r="C314" s="52" t="s">
        <v>1013</v>
      </c>
      <c r="D314" s="52" t="s">
        <v>1024</v>
      </c>
      <c r="E314" s="52">
        <v>431</v>
      </c>
      <c r="F314" s="52">
        <v>621</v>
      </c>
      <c r="G314" s="52">
        <v>267651</v>
      </c>
      <c r="H314" s="52" t="s">
        <v>1027</v>
      </c>
      <c r="I314" s="52" t="s">
        <v>1026</v>
      </c>
      <c r="J314" s="53" t="s">
        <v>1031</v>
      </c>
    </row>
    <row r="315" spans="1:10" x14ac:dyDescent="0.25">
      <c r="A315" s="52" t="s">
        <v>323</v>
      </c>
      <c r="B315" s="53">
        <v>45896</v>
      </c>
      <c r="C315" s="52" t="s">
        <v>1014</v>
      </c>
      <c r="D315" s="52" t="s">
        <v>1015</v>
      </c>
      <c r="E315" s="52">
        <v>218</v>
      </c>
      <c r="F315" s="52">
        <v>356</v>
      </c>
      <c r="G315" s="52">
        <v>77608</v>
      </c>
      <c r="H315" s="52" t="s">
        <v>1025</v>
      </c>
      <c r="I315" s="52" t="s">
        <v>1028</v>
      </c>
      <c r="J315" s="53">
        <v>45902</v>
      </c>
    </row>
    <row r="316" spans="1:10" x14ac:dyDescent="0.25">
      <c r="A316" s="52" t="s">
        <v>324</v>
      </c>
      <c r="B316" s="53">
        <v>45697</v>
      </c>
      <c r="C316" s="52" t="s">
        <v>1010</v>
      </c>
      <c r="D316" s="52" t="s">
        <v>1018</v>
      </c>
      <c r="E316" s="52">
        <v>247</v>
      </c>
      <c r="F316" s="52">
        <v>1737</v>
      </c>
      <c r="G316" s="52">
        <v>429039</v>
      </c>
      <c r="H316" s="52" t="s">
        <v>1027</v>
      </c>
      <c r="I316" s="52" t="s">
        <v>1026</v>
      </c>
      <c r="J316" s="53" t="s">
        <v>1031</v>
      </c>
    </row>
    <row r="317" spans="1:10" x14ac:dyDescent="0.25">
      <c r="A317" s="52" t="s">
        <v>325</v>
      </c>
      <c r="B317" s="53">
        <v>45988</v>
      </c>
      <c r="C317" s="52" t="s">
        <v>1013</v>
      </c>
      <c r="D317" s="52" t="s">
        <v>1022</v>
      </c>
      <c r="E317" s="52">
        <v>79</v>
      </c>
      <c r="F317" s="52">
        <v>918</v>
      </c>
      <c r="G317" s="52">
        <v>72522</v>
      </c>
      <c r="H317" s="52" t="s">
        <v>1030</v>
      </c>
      <c r="I317" s="52" t="s">
        <v>1026</v>
      </c>
      <c r="J317" s="53" t="s">
        <v>1031</v>
      </c>
    </row>
    <row r="318" spans="1:10" x14ac:dyDescent="0.25">
      <c r="A318" s="52" t="s">
        <v>326</v>
      </c>
      <c r="B318" s="53">
        <v>46049</v>
      </c>
      <c r="C318" s="52" t="s">
        <v>1010</v>
      </c>
      <c r="D318" s="52" t="s">
        <v>1024</v>
      </c>
      <c r="E318" s="52">
        <v>481</v>
      </c>
      <c r="F318" s="52">
        <v>1429</v>
      </c>
      <c r="G318" s="52">
        <v>687349</v>
      </c>
      <c r="H318" s="52" t="s">
        <v>1030</v>
      </c>
      <c r="I318" s="52" t="s">
        <v>1026</v>
      </c>
      <c r="J318" s="53" t="s">
        <v>1031</v>
      </c>
    </row>
    <row r="319" spans="1:10" x14ac:dyDescent="0.25">
      <c r="A319" s="52" t="s">
        <v>327</v>
      </c>
      <c r="B319" s="53">
        <v>45788</v>
      </c>
      <c r="C319" s="52" t="s">
        <v>1010</v>
      </c>
      <c r="D319" s="52" t="s">
        <v>1022</v>
      </c>
      <c r="E319" s="52">
        <v>407</v>
      </c>
      <c r="F319" s="52">
        <v>1530</v>
      </c>
      <c r="G319" s="52">
        <v>622710</v>
      </c>
      <c r="H319" s="52" t="s">
        <v>1025</v>
      </c>
      <c r="I319" s="52" t="s">
        <v>1029</v>
      </c>
      <c r="J319" s="53" t="s">
        <v>1031</v>
      </c>
    </row>
    <row r="320" spans="1:10" x14ac:dyDescent="0.25">
      <c r="A320" s="52" t="s">
        <v>328</v>
      </c>
      <c r="B320" s="53">
        <v>45994</v>
      </c>
      <c r="C320" s="52" t="s">
        <v>1012</v>
      </c>
      <c r="D320" s="52" t="s">
        <v>1022</v>
      </c>
      <c r="E320" s="52">
        <v>143</v>
      </c>
      <c r="F320" s="52">
        <v>1888</v>
      </c>
      <c r="G320" s="52">
        <v>269984</v>
      </c>
      <c r="H320" s="52" t="s">
        <v>1025</v>
      </c>
      <c r="I320" s="52" t="s">
        <v>1028</v>
      </c>
      <c r="J320" s="53">
        <v>45999</v>
      </c>
    </row>
    <row r="321" spans="1:10" x14ac:dyDescent="0.25">
      <c r="A321" s="52" t="s">
        <v>329</v>
      </c>
      <c r="B321" s="53">
        <v>45737</v>
      </c>
      <c r="C321" s="52" t="s">
        <v>1010</v>
      </c>
      <c r="D321" s="52" t="s">
        <v>1023</v>
      </c>
      <c r="E321" s="52">
        <v>27</v>
      </c>
      <c r="F321" s="52">
        <v>997</v>
      </c>
      <c r="G321" s="52">
        <v>26919</v>
      </c>
      <c r="H321" s="52" t="s">
        <v>1027</v>
      </c>
      <c r="I321" s="52" t="s">
        <v>1029</v>
      </c>
      <c r="J321" s="53" t="s">
        <v>1031</v>
      </c>
    </row>
    <row r="322" spans="1:10" x14ac:dyDescent="0.25">
      <c r="A322" s="52" t="s">
        <v>330</v>
      </c>
      <c r="B322" s="53">
        <v>45671</v>
      </c>
      <c r="C322" s="52" t="s">
        <v>1012</v>
      </c>
      <c r="D322" s="52" t="s">
        <v>1020</v>
      </c>
      <c r="E322" s="52">
        <v>361</v>
      </c>
      <c r="F322" s="52">
        <v>294</v>
      </c>
      <c r="G322" s="52">
        <v>106134</v>
      </c>
      <c r="H322" s="52" t="s">
        <v>1025</v>
      </c>
      <c r="I322" s="52" t="s">
        <v>1029</v>
      </c>
      <c r="J322" s="53" t="s">
        <v>1031</v>
      </c>
    </row>
    <row r="323" spans="1:10" x14ac:dyDescent="0.25">
      <c r="A323" s="52" t="s">
        <v>331</v>
      </c>
      <c r="B323" s="53">
        <v>45734</v>
      </c>
      <c r="C323" s="52" t="s">
        <v>1010</v>
      </c>
      <c r="D323" s="52" t="s">
        <v>1019</v>
      </c>
      <c r="E323" s="52">
        <v>350</v>
      </c>
      <c r="F323" s="52">
        <v>1717</v>
      </c>
      <c r="G323" s="52">
        <v>600950</v>
      </c>
      <c r="H323" s="52" t="s">
        <v>1027</v>
      </c>
      <c r="I323" s="52" t="s">
        <v>1029</v>
      </c>
      <c r="J323" s="53" t="s">
        <v>1031</v>
      </c>
    </row>
    <row r="324" spans="1:10" x14ac:dyDescent="0.25">
      <c r="A324" s="52" t="s">
        <v>332</v>
      </c>
      <c r="B324" s="53">
        <v>45940</v>
      </c>
      <c r="C324" s="52" t="s">
        <v>1010</v>
      </c>
      <c r="D324" s="52" t="s">
        <v>1016</v>
      </c>
      <c r="E324" s="52">
        <v>444</v>
      </c>
      <c r="F324" s="52">
        <v>1501</v>
      </c>
      <c r="G324" s="52">
        <v>666444</v>
      </c>
      <c r="H324" s="52" t="s">
        <v>1025</v>
      </c>
      <c r="I324" s="52" t="s">
        <v>1028</v>
      </c>
      <c r="J324" s="53">
        <v>45945</v>
      </c>
    </row>
    <row r="325" spans="1:10" x14ac:dyDescent="0.25">
      <c r="A325" s="52" t="s">
        <v>333</v>
      </c>
      <c r="B325" s="53">
        <v>45686</v>
      </c>
      <c r="C325" s="52" t="s">
        <v>1011</v>
      </c>
      <c r="D325" s="52" t="s">
        <v>1020</v>
      </c>
      <c r="E325" s="52">
        <v>498</v>
      </c>
      <c r="F325" s="52">
        <v>918</v>
      </c>
      <c r="G325" s="52">
        <v>457164</v>
      </c>
      <c r="H325" s="52" t="s">
        <v>1025</v>
      </c>
      <c r="I325" s="52" t="s">
        <v>1028</v>
      </c>
      <c r="J325" s="53">
        <v>45699</v>
      </c>
    </row>
    <row r="326" spans="1:10" x14ac:dyDescent="0.25">
      <c r="A326" s="52" t="s">
        <v>334</v>
      </c>
      <c r="B326" s="53">
        <v>45985</v>
      </c>
      <c r="C326" s="52" t="s">
        <v>1011</v>
      </c>
      <c r="D326" s="52" t="s">
        <v>1019</v>
      </c>
      <c r="E326" s="52">
        <v>306</v>
      </c>
      <c r="F326" s="52">
        <v>1328</v>
      </c>
      <c r="G326" s="52">
        <v>406368</v>
      </c>
      <c r="H326" s="52" t="s">
        <v>1030</v>
      </c>
      <c r="I326" s="52" t="s">
        <v>1029</v>
      </c>
      <c r="J326" s="53" t="s">
        <v>1031</v>
      </c>
    </row>
    <row r="327" spans="1:10" x14ac:dyDescent="0.25">
      <c r="A327" s="52" t="s">
        <v>335</v>
      </c>
      <c r="B327" s="53">
        <v>45811</v>
      </c>
      <c r="C327" s="52" t="s">
        <v>1011</v>
      </c>
      <c r="D327" s="52" t="s">
        <v>1018</v>
      </c>
      <c r="E327" s="52">
        <v>77</v>
      </c>
      <c r="F327" s="52">
        <v>1445</v>
      </c>
      <c r="G327" s="52">
        <v>111265</v>
      </c>
      <c r="H327" s="52" t="s">
        <v>1030</v>
      </c>
      <c r="I327" s="52" t="s">
        <v>1028</v>
      </c>
      <c r="J327" s="53">
        <v>45820</v>
      </c>
    </row>
    <row r="328" spans="1:10" x14ac:dyDescent="0.25">
      <c r="A328" s="52" t="s">
        <v>336</v>
      </c>
      <c r="B328" s="53">
        <v>45734</v>
      </c>
      <c r="C328" s="52" t="s">
        <v>1010</v>
      </c>
      <c r="D328" s="52" t="s">
        <v>1018</v>
      </c>
      <c r="E328" s="52">
        <v>87</v>
      </c>
      <c r="F328" s="52">
        <v>1061</v>
      </c>
      <c r="G328" s="52">
        <v>92307</v>
      </c>
      <c r="H328" s="52" t="s">
        <v>1025</v>
      </c>
      <c r="I328" s="52" t="s">
        <v>1029</v>
      </c>
      <c r="J328" s="53" t="s">
        <v>1031</v>
      </c>
    </row>
    <row r="329" spans="1:10" x14ac:dyDescent="0.25">
      <c r="A329" s="52" t="s">
        <v>337</v>
      </c>
      <c r="B329" s="53">
        <v>45781</v>
      </c>
      <c r="C329" s="52" t="s">
        <v>1014</v>
      </c>
      <c r="D329" s="52" t="s">
        <v>1019</v>
      </c>
      <c r="E329" s="52">
        <v>18</v>
      </c>
      <c r="F329" s="52">
        <v>135</v>
      </c>
      <c r="G329" s="52">
        <v>2430</v>
      </c>
      <c r="H329" s="52" t="s">
        <v>1030</v>
      </c>
      <c r="I329" s="52" t="s">
        <v>1029</v>
      </c>
      <c r="J329" s="53" t="s">
        <v>1031</v>
      </c>
    </row>
    <row r="330" spans="1:10" x14ac:dyDescent="0.25">
      <c r="A330" s="52" t="s">
        <v>338</v>
      </c>
      <c r="B330" s="53">
        <v>45722</v>
      </c>
      <c r="C330" s="52" t="s">
        <v>1010</v>
      </c>
      <c r="D330" s="52" t="s">
        <v>1023</v>
      </c>
      <c r="E330" s="52">
        <v>217</v>
      </c>
      <c r="F330" s="52">
        <v>24</v>
      </c>
      <c r="G330" s="52">
        <v>5208</v>
      </c>
      <c r="H330" s="52" t="s">
        <v>1030</v>
      </c>
      <c r="I330" s="52" t="s">
        <v>1028</v>
      </c>
      <c r="J330" s="53">
        <v>45735</v>
      </c>
    </row>
    <row r="331" spans="1:10" x14ac:dyDescent="0.25">
      <c r="A331" s="52" t="s">
        <v>339</v>
      </c>
      <c r="B331" s="53">
        <v>46027</v>
      </c>
      <c r="C331" s="52" t="s">
        <v>1014</v>
      </c>
      <c r="D331" s="52" t="s">
        <v>1016</v>
      </c>
      <c r="E331" s="52">
        <v>89</v>
      </c>
      <c r="F331" s="52">
        <v>817</v>
      </c>
      <c r="G331" s="52">
        <v>72713</v>
      </c>
      <c r="H331" s="52" t="s">
        <v>1025</v>
      </c>
      <c r="I331" s="52" t="s">
        <v>1029</v>
      </c>
      <c r="J331" s="53" t="s">
        <v>1031</v>
      </c>
    </row>
    <row r="332" spans="1:10" x14ac:dyDescent="0.25">
      <c r="A332" s="52" t="s">
        <v>340</v>
      </c>
      <c r="B332" s="53">
        <v>45675</v>
      </c>
      <c r="C332" s="52" t="s">
        <v>1010</v>
      </c>
      <c r="D332" s="52" t="s">
        <v>1016</v>
      </c>
      <c r="E332" s="52">
        <v>218</v>
      </c>
      <c r="F332" s="52">
        <v>1790</v>
      </c>
      <c r="G332" s="52">
        <v>390220</v>
      </c>
      <c r="H332" s="52" t="s">
        <v>1025</v>
      </c>
      <c r="I332" s="52" t="s">
        <v>1028</v>
      </c>
      <c r="J332" s="53">
        <v>45689</v>
      </c>
    </row>
    <row r="333" spans="1:10" x14ac:dyDescent="0.25">
      <c r="A333" s="52" t="s">
        <v>341</v>
      </c>
      <c r="B333" s="53">
        <v>45678</v>
      </c>
      <c r="C333" s="52" t="s">
        <v>1010</v>
      </c>
      <c r="D333" s="52" t="s">
        <v>1017</v>
      </c>
      <c r="E333" s="52">
        <v>359</v>
      </c>
      <c r="F333" s="52">
        <v>1293</v>
      </c>
      <c r="G333" s="52">
        <v>464187</v>
      </c>
      <c r="H333" s="52" t="s">
        <v>1030</v>
      </c>
      <c r="I333" s="52" t="s">
        <v>1029</v>
      </c>
      <c r="J333" s="53" t="s">
        <v>1031</v>
      </c>
    </row>
    <row r="334" spans="1:10" x14ac:dyDescent="0.25">
      <c r="A334" s="52" t="s">
        <v>342</v>
      </c>
      <c r="B334" s="53">
        <v>45957</v>
      </c>
      <c r="C334" s="52" t="s">
        <v>1014</v>
      </c>
      <c r="D334" s="52" t="s">
        <v>1024</v>
      </c>
      <c r="E334" s="52">
        <v>309</v>
      </c>
      <c r="F334" s="52">
        <v>1874</v>
      </c>
      <c r="G334" s="52">
        <v>579066</v>
      </c>
      <c r="H334" s="52" t="s">
        <v>1025</v>
      </c>
      <c r="I334" s="52" t="s">
        <v>1029</v>
      </c>
      <c r="J334" s="53" t="s">
        <v>1031</v>
      </c>
    </row>
    <row r="335" spans="1:10" x14ac:dyDescent="0.25">
      <c r="A335" s="52" t="s">
        <v>343</v>
      </c>
      <c r="B335" s="53">
        <v>46039</v>
      </c>
      <c r="C335" s="52" t="s">
        <v>1010</v>
      </c>
      <c r="D335" s="52" t="s">
        <v>1019</v>
      </c>
      <c r="E335" s="52">
        <v>338</v>
      </c>
      <c r="F335" s="52">
        <v>1780</v>
      </c>
      <c r="G335" s="52">
        <v>601640</v>
      </c>
      <c r="H335" s="52" t="s">
        <v>1027</v>
      </c>
      <c r="I335" s="52" t="s">
        <v>1028</v>
      </c>
      <c r="J335" s="53">
        <v>46048</v>
      </c>
    </row>
    <row r="336" spans="1:10" x14ac:dyDescent="0.25">
      <c r="A336" s="52" t="s">
        <v>344</v>
      </c>
      <c r="B336" s="53">
        <v>46028</v>
      </c>
      <c r="C336" s="52" t="s">
        <v>1012</v>
      </c>
      <c r="D336" s="52" t="s">
        <v>1016</v>
      </c>
      <c r="E336" s="52">
        <v>120</v>
      </c>
      <c r="F336" s="52">
        <v>1122</v>
      </c>
      <c r="G336" s="52">
        <v>134640</v>
      </c>
      <c r="H336" s="52" t="s">
        <v>1030</v>
      </c>
      <c r="I336" s="52" t="s">
        <v>1028</v>
      </c>
      <c r="J336" s="53">
        <v>46034</v>
      </c>
    </row>
    <row r="337" spans="1:10" x14ac:dyDescent="0.25">
      <c r="A337" s="52" t="s">
        <v>345</v>
      </c>
      <c r="B337" s="53">
        <v>45753</v>
      </c>
      <c r="C337" s="52" t="s">
        <v>1014</v>
      </c>
      <c r="D337" s="52" t="s">
        <v>1023</v>
      </c>
      <c r="E337" s="52">
        <v>401</v>
      </c>
      <c r="F337" s="52">
        <v>944</v>
      </c>
      <c r="G337" s="52">
        <v>378544</v>
      </c>
      <c r="H337" s="52" t="s">
        <v>1027</v>
      </c>
      <c r="I337" s="52" t="s">
        <v>1026</v>
      </c>
      <c r="J337" s="53" t="s">
        <v>1031</v>
      </c>
    </row>
    <row r="338" spans="1:10" x14ac:dyDescent="0.25">
      <c r="A338" s="52" t="s">
        <v>346</v>
      </c>
      <c r="B338" s="53">
        <v>45848</v>
      </c>
      <c r="C338" s="52" t="s">
        <v>1011</v>
      </c>
      <c r="D338" s="52" t="s">
        <v>1015</v>
      </c>
      <c r="E338" s="52">
        <v>52</v>
      </c>
      <c r="F338" s="52">
        <v>1304</v>
      </c>
      <c r="G338" s="52">
        <v>67808</v>
      </c>
      <c r="H338" s="52" t="s">
        <v>1025</v>
      </c>
      <c r="I338" s="52" t="s">
        <v>1028</v>
      </c>
      <c r="J338" s="53">
        <v>45861</v>
      </c>
    </row>
    <row r="339" spans="1:10" x14ac:dyDescent="0.25">
      <c r="A339" s="52" t="s">
        <v>347</v>
      </c>
      <c r="B339" s="53">
        <v>45916</v>
      </c>
      <c r="C339" s="52" t="s">
        <v>1014</v>
      </c>
      <c r="D339" s="52" t="s">
        <v>1017</v>
      </c>
      <c r="E339" s="52">
        <v>374</v>
      </c>
      <c r="F339" s="52">
        <v>1290</v>
      </c>
      <c r="G339" s="52">
        <v>482460</v>
      </c>
      <c r="H339" s="52" t="s">
        <v>1027</v>
      </c>
      <c r="I339" s="52" t="s">
        <v>1028</v>
      </c>
      <c r="J339" s="53">
        <v>45931</v>
      </c>
    </row>
    <row r="340" spans="1:10" x14ac:dyDescent="0.25">
      <c r="A340" s="52" t="s">
        <v>348</v>
      </c>
      <c r="B340" s="53">
        <v>46017</v>
      </c>
      <c r="C340" s="52" t="s">
        <v>1014</v>
      </c>
      <c r="D340" s="52" t="s">
        <v>1017</v>
      </c>
      <c r="E340" s="52">
        <v>22</v>
      </c>
      <c r="F340" s="52">
        <v>1081</v>
      </c>
      <c r="G340" s="52">
        <v>23782</v>
      </c>
      <c r="H340" s="52" t="s">
        <v>1025</v>
      </c>
      <c r="I340" s="52" t="s">
        <v>1026</v>
      </c>
      <c r="J340" s="53" t="s">
        <v>1031</v>
      </c>
    </row>
    <row r="341" spans="1:10" x14ac:dyDescent="0.25">
      <c r="A341" s="52" t="s">
        <v>349</v>
      </c>
      <c r="B341" s="53">
        <v>46017</v>
      </c>
      <c r="C341" s="52" t="s">
        <v>1013</v>
      </c>
      <c r="D341" s="52" t="s">
        <v>1020</v>
      </c>
      <c r="E341" s="52">
        <v>146</v>
      </c>
      <c r="F341" s="52">
        <v>483</v>
      </c>
      <c r="G341" s="52">
        <v>70518</v>
      </c>
      <c r="H341" s="52" t="s">
        <v>1030</v>
      </c>
      <c r="I341" s="52" t="s">
        <v>1028</v>
      </c>
      <c r="J341" s="53">
        <v>46028</v>
      </c>
    </row>
    <row r="342" spans="1:10" x14ac:dyDescent="0.25">
      <c r="A342" s="52" t="s">
        <v>350</v>
      </c>
      <c r="B342" s="53">
        <v>45674</v>
      </c>
      <c r="C342" s="52" t="s">
        <v>1011</v>
      </c>
      <c r="D342" s="52" t="s">
        <v>1023</v>
      </c>
      <c r="E342" s="52">
        <v>93</v>
      </c>
      <c r="F342" s="52">
        <v>608</v>
      </c>
      <c r="G342" s="52">
        <v>56544</v>
      </c>
      <c r="H342" s="52" t="s">
        <v>1030</v>
      </c>
      <c r="I342" s="52" t="s">
        <v>1026</v>
      </c>
      <c r="J342" s="53" t="s">
        <v>1031</v>
      </c>
    </row>
    <row r="343" spans="1:10" x14ac:dyDescent="0.25">
      <c r="A343" s="52" t="s">
        <v>351</v>
      </c>
      <c r="B343" s="53">
        <v>46018</v>
      </c>
      <c r="C343" s="52" t="s">
        <v>1011</v>
      </c>
      <c r="D343" s="52" t="s">
        <v>1019</v>
      </c>
      <c r="E343" s="52">
        <v>274</v>
      </c>
      <c r="F343" s="52">
        <v>770</v>
      </c>
      <c r="G343" s="52">
        <v>210980</v>
      </c>
      <c r="H343" s="52" t="s">
        <v>1030</v>
      </c>
      <c r="I343" s="52" t="s">
        <v>1028</v>
      </c>
      <c r="J343" s="53">
        <v>46030</v>
      </c>
    </row>
    <row r="344" spans="1:10" x14ac:dyDescent="0.25">
      <c r="A344" s="52" t="s">
        <v>352</v>
      </c>
      <c r="B344" s="53">
        <v>45862</v>
      </c>
      <c r="C344" s="52" t="s">
        <v>1011</v>
      </c>
      <c r="D344" s="52" t="s">
        <v>1024</v>
      </c>
      <c r="E344" s="52">
        <v>439</v>
      </c>
      <c r="F344" s="52">
        <v>1798</v>
      </c>
      <c r="G344" s="52">
        <v>789322</v>
      </c>
      <c r="H344" s="52" t="s">
        <v>1030</v>
      </c>
      <c r="I344" s="52" t="s">
        <v>1029</v>
      </c>
      <c r="J344" s="53" t="s">
        <v>1031</v>
      </c>
    </row>
    <row r="345" spans="1:10" x14ac:dyDescent="0.25">
      <c r="A345" s="52" t="s">
        <v>353</v>
      </c>
      <c r="B345" s="53">
        <v>45725</v>
      </c>
      <c r="C345" s="52" t="s">
        <v>1011</v>
      </c>
      <c r="D345" s="52" t="s">
        <v>1015</v>
      </c>
      <c r="E345" s="52">
        <v>387</v>
      </c>
      <c r="F345" s="52">
        <v>1318</v>
      </c>
      <c r="G345" s="52">
        <v>510066</v>
      </c>
      <c r="H345" s="52" t="s">
        <v>1030</v>
      </c>
      <c r="I345" s="52" t="s">
        <v>1028</v>
      </c>
      <c r="J345" s="53">
        <v>45736</v>
      </c>
    </row>
    <row r="346" spans="1:10" x14ac:dyDescent="0.25">
      <c r="A346" s="52" t="s">
        <v>354</v>
      </c>
      <c r="B346" s="53">
        <v>45789</v>
      </c>
      <c r="C346" s="52" t="s">
        <v>1014</v>
      </c>
      <c r="D346" s="52" t="s">
        <v>1018</v>
      </c>
      <c r="E346" s="52">
        <v>379</v>
      </c>
      <c r="F346" s="52">
        <v>1989</v>
      </c>
      <c r="G346" s="52">
        <v>753831</v>
      </c>
      <c r="H346" s="52" t="s">
        <v>1025</v>
      </c>
      <c r="I346" s="52" t="s">
        <v>1026</v>
      </c>
      <c r="J346" s="53" t="s">
        <v>1031</v>
      </c>
    </row>
    <row r="347" spans="1:10" x14ac:dyDescent="0.25">
      <c r="A347" s="52" t="s">
        <v>355</v>
      </c>
      <c r="B347" s="53">
        <v>45808</v>
      </c>
      <c r="C347" s="52" t="s">
        <v>1011</v>
      </c>
      <c r="D347" s="52" t="s">
        <v>1016</v>
      </c>
      <c r="E347" s="52">
        <v>273</v>
      </c>
      <c r="F347" s="52">
        <v>1774</v>
      </c>
      <c r="G347" s="52">
        <v>484302</v>
      </c>
      <c r="H347" s="52" t="s">
        <v>1030</v>
      </c>
      <c r="I347" s="52" t="s">
        <v>1029</v>
      </c>
      <c r="J347" s="53" t="s">
        <v>1031</v>
      </c>
    </row>
    <row r="348" spans="1:10" x14ac:dyDescent="0.25">
      <c r="A348" s="52" t="s">
        <v>356</v>
      </c>
      <c r="B348" s="53">
        <v>45699</v>
      </c>
      <c r="C348" s="52" t="s">
        <v>1013</v>
      </c>
      <c r="D348" s="52" t="s">
        <v>1021</v>
      </c>
      <c r="E348" s="52">
        <v>277</v>
      </c>
      <c r="F348" s="52">
        <v>438</v>
      </c>
      <c r="G348" s="52">
        <v>121326</v>
      </c>
      <c r="H348" s="52" t="s">
        <v>1030</v>
      </c>
      <c r="I348" s="52" t="s">
        <v>1029</v>
      </c>
      <c r="J348" s="53" t="s">
        <v>1031</v>
      </c>
    </row>
    <row r="349" spans="1:10" x14ac:dyDescent="0.25">
      <c r="A349" s="52" t="s">
        <v>357</v>
      </c>
      <c r="B349" s="53">
        <v>45900</v>
      </c>
      <c r="C349" s="52" t="s">
        <v>1013</v>
      </c>
      <c r="D349" s="52" t="s">
        <v>1016</v>
      </c>
      <c r="E349" s="52">
        <v>18</v>
      </c>
      <c r="F349" s="52">
        <v>1998</v>
      </c>
      <c r="G349" s="52">
        <v>35964</v>
      </c>
      <c r="H349" s="52" t="s">
        <v>1030</v>
      </c>
      <c r="I349" s="52" t="s">
        <v>1029</v>
      </c>
      <c r="J349" s="53" t="s">
        <v>1031</v>
      </c>
    </row>
    <row r="350" spans="1:10" x14ac:dyDescent="0.25">
      <c r="A350" s="52" t="s">
        <v>358</v>
      </c>
      <c r="B350" s="53">
        <v>45945</v>
      </c>
      <c r="C350" s="52" t="s">
        <v>1014</v>
      </c>
      <c r="D350" s="52" t="s">
        <v>1020</v>
      </c>
      <c r="E350" s="52">
        <v>353</v>
      </c>
      <c r="F350" s="52">
        <v>1255</v>
      </c>
      <c r="G350" s="52">
        <v>443015</v>
      </c>
      <c r="H350" s="52" t="s">
        <v>1027</v>
      </c>
      <c r="I350" s="52" t="s">
        <v>1029</v>
      </c>
      <c r="J350" s="53" t="s">
        <v>1031</v>
      </c>
    </row>
    <row r="351" spans="1:10" x14ac:dyDescent="0.25">
      <c r="A351" s="52" t="s">
        <v>359</v>
      </c>
      <c r="B351" s="53">
        <v>46035</v>
      </c>
      <c r="C351" s="52" t="s">
        <v>1013</v>
      </c>
      <c r="D351" s="52" t="s">
        <v>1023</v>
      </c>
      <c r="E351" s="52">
        <v>457</v>
      </c>
      <c r="F351" s="52">
        <v>1346</v>
      </c>
      <c r="G351" s="52">
        <v>615122</v>
      </c>
      <c r="H351" s="52" t="s">
        <v>1027</v>
      </c>
      <c r="I351" s="52" t="s">
        <v>1026</v>
      </c>
      <c r="J351" s="53" t="s">
        <v>1031</v>
      </c>
    </row>
    <row r="352" spans="1:10" x14ac:dyDescent="0.25">
      <c r="A352" s="52" t="s">
        <v>360</v>
      </c>
      <c r="B352" s="53">
        <v>45666</v>
      </c>
      <c r="C352" s="52" t="s">
        <v>1014</v>
      </c>
      <c r="D352" s="52" t="s">
        <v>1022</v>
      </c>
      <c r="E352" s="52">
        <v>257</v>
      </c>
      <c r="F352" s="52">
        <v>1088</v>
      </c>
      <c r="G352" s="52">
        <v>279616</v>
      </c>
      <c r="H352" s="52" t="s">
        <v>1025</v>
      </c>
      <c r="I352" s="52" t="s">
        <v>1029</v>
      </c>
      <c r="J352" s="53" t="s">
        <v>1031</v>
      </c>
    </row>
    <row r="353" spans="1:10" x14ac:dyDescent="0.25">
      <c r="A353" s="52" t="s">
        <v>361</v>
      </c>
      <c r="B353" s="53">
        <v>45826</v>
      </c>
      <c r="C353" s="52" t="s">
        <v>1013</v>
      </c>
      <c r="D353" s="52" t="s">
        <v>1023</v>
      </c>
      <c r="E353" s="52">
        <v>17</v>
      </c>
      <c r="F353" s="52">
        <v>1748</v>
      </c>
      <c r="G353" s="52">
        <v>29716</v>
      </c>
      <c r="H353" s="52" t="s">
        <v>1025</v>
      </c>
      <c r="I353" s="52" t="s">
        <v>1026</v>
      </c>
      <c r="J353" s="53" t="s">
        <v>1031</v>
      </c>
    </row>
    <row r="354" spans="1:10" x14ac:dyDescent="0.25">
      <c r="A354" s="52" t="s">
        <v>362</v>
      </c>
      <c r="B354" s="53">
        <v>46003</v>
      </c>
      <c r="C354" s="52" t="s">
        <v>1013</v>
      </c>
      <c r="D354" s="52" t="s">
        <v>1018</v>
      </c>
      <c r="E354" s="52">
        <v>321</v>
      </c>
      <c r="F354" s="52">
        <v>663</v>
      </c>
      <c r="G354" s="52">
        <v>212823</v>
      </c>
      <c r="H354" s="52" t="s">
        <v>1025</v>
      </c>
      <c r="I354" s="52" t="s">
        <v>1026</v>
      </c>
      <c r="J354" s="53" t="s">
        <v>1031</v>
      </c>
    </row>
    <row r="355" spans="1:10" x14ac:dyDescent="0.25">
      <c r="A355" s="52" t="s">
        <v>363</v>
      </c>
      <c r="B355" s="53">
        <v>45861</v>
      </c>
      <c r="C355" s="52" t="s">
        <v>1014</v>
      </c>
      <c r="D355" s="52" t="s">
        <v>1019</v>
      </c>
      <c r="E355" s="52">
        <v>426</v>
      </c>
      <c r="F355" s="52">
        <v>403</v>
      </c>
      <c r="G355" s="52">
        <v>171678</v>
      </c>
      <c r="H355" s="52" t="s">
        <v>1025</v>
      </c>
      <c r="I355" s="52" t="s">
        <v>1026</v>
      </c>
      <c r="J355" s="53" t="s">
        <v>1031</v>
      </c>
    </row>
    <row r="356" spans="1:10" x14ac:dyDescent="0.25">
      <c r="A356" s="52" t="s">
        <v>364</v>
      </c>
      <c r="B356" s="53">
        <v>45944</v>
      </c>
      <c r="C356" s="52" t="s">
        <v>1014</v>
      </c>
      <c r="D356" s="52" t="s">
        <v>1023</v>
      </c>
      <c r="E356" s="52">
        <v>422</v>
      </c>
      <c r="F356" s="52">
        <v>1068</v>
      </c>
      <c r="G356" s="52">
        <v>450696</v>
      </c>
      <c r="H356" s="52" t="s">
        <v>1027</v>
      </c>
      <c r="I356" s="52" t="s">
        <v>1028</v>
      </c>
      <c r="J356" s="53">
        <v>45955</v>
      </c>
    </row>
    <row r="357" spans="1:10" x14ac:dyDescent="0.25">
      <c r="A357" s="52" t="s">
        <v>365</v>
      </c>
      <c r="B357" s="53">
        <v>45853</v>
      </c>
      <c r="C357" s="52" t="s">
        <v>1014</v>
      </c>
      <c r="D357" s="52" t="s">
        <v>1019</v>
      </c>
      <c r="E357" s="52">
        <v>143</v>
      </c>
      <c r="F357" s="52">
        <v>1628</v>
      </c>
      <c r="G357" s="52">
        <v>232804</v>
      </c>
      <c r="H357" s="52" t="s">
        <v>1025</v>
      </c>
      <c r="I357" s="52" t="s">
        <v>1029</v>
      </c>
      <c r="J357" s="53" t="s">
        <v>1031</v>
      </c>
    </row>
    <row r="358" spans="1:10" x14ac:dyDescent="0.25">
      <c r="A358" s="52" t="s">
        <v>366</v>
      </c>
      <c r="B358" s="53">
        <v>45940</v>
      </c>
      <c r="C358" s="52" t="s">
        <v>1014</v>
      </c>
      <c r="D358" s="52" t="s">
        <v>1019</v>
      </c>
      <c r="E358" s="52">
        <v>217</v>
      </c>
      <c r="F358" s="52">
        <v>1527</v>
      </c>
      <c r="G358" s="52">
        <v>331359</v>
      </c>
      <c r="H358" s="52" t="s">
        <v>1030</v>
      </c>
      <c r="I358" s="52" t="s">
        <v>1026</v>
      </c>
      <c r="J358" s="53" t="s">
        <v>1031</v>
      </c>
    </row>
    <row r="359" spans="1:10" x14ac:dyDescent="0.25">
      <c r="A359" s="52" t="s">
        <v>367</v>
      </c>
      <c r="B359" s="53">
        <v>46022</v>
      </c>
      <c r="C359" s="52" t="s">
        <v>1012</v>
      </c>
      <c r="D359" s="52" t="s">
        <v>1018</v>
      </c>
      <c r="E359" s="52">
        <v>437</v>
      </c>
      <c r="F359" s="52">
        <v>276</v>
      </c>
      <c r="G359" s="52">
        <v>120612</v>
      </c>
      <c r="H359" s="52" t="s">
        <v>1027</v>
      </c>
      <c r="I359" s="52" t="s">
        <v>1029</v>
      </c>
      <c r="J359" s="53" t="s">
        <v>1031</v>
      </c>
    </row>
    <row r="360" spans="1:10" x14ac:dyDescent="0.25">
      <c r="A360" s="52" t="s">
        <v>368</v>
      </c>
      <c r="B360" s="53">
        <v>45877</v>
      </c>
      <c r="C360" s="52" t="s">
        <v>1013</v>
      </c>
      <c r="D360" s="52" t="s">
        <v>1020</v>
      </c>
      <c r="E360" s="52">
        <v>199</v>
      </c>
      <c r="F360" s="52">
        <v>1655</v>
      </c>
      <c r="G360" s="52">
        <v>329345</v>
      </c>
      <c r="H360" s="52" t="s">
        <v>1025</v>
      </c>
      <c r="I360" s="52" t="s">
        <v>1028</v>
      </c>
      <c r="J360" s="53">
        <v>45882</v>
      </c>
    </row>
    <row r="361" spans="1:10" x14ac:dyDescent="0.25">
      <c r="A361" s="52" t="s">
        <v>369</v>
      </c>
      <c r="B361" s="53">
        <v>45818</v>
      </c>
      <c r="C361" s="52" t="s">
        <v>1013</v>
      </c>
      <c r="D361" s="52" t="s">
        <v>1021</v>
      </c>
      <c r="E361" s="52">
        <v>89</v>
      </c>
      <c r="F361" s="52">
        <v>1969</v>
      </c>
      <c r="G361" s="52">
        <v>175241</v>
      </c>
      <c r="H361" s="52" t="s">
        <v>1030</v>
      </c>
      <c r="I361" s="52" t="s">
        <v>1026</v>
      </c>
      <c r="J361" s="53" t="s">
        <v>1031</v>
      </c>
    </row>
    <row r="362" spans="1:10" x14ac:dyDescent="0.25">
      <c r="A362" s="52" t="s">
        <v>370</v>
      </c>
      <c r="B362" s="53">
        <v>45882</v>
      </c>
      <c r="C362" s="52" t="s">
        <v>1011</v>
      </c>
      <c r="D362" s="52" t="s">
        <v>1024</v>
      </c>
      <c r="E362" s="52">
        <v>438</v>
      </c>
      <c r="F362" s="52">
        <v>1404</v>
      </c>
      <c r="G362" s="52">
        <v>614952</v>
      </c>
      <c r="H362" s="52" t="s">
        <v>1025</v>
      </c>
      <c r="I362" s="52" t="s">
        <v>1029</v>
      </c>
      <c r="J362" s="53" t="s">
        <v>1031</v>
      </c>
    </row>
    <row r="363" spans="1:10" x14ac:dyDescent="0.25">
      <c r="A363" s="52" t="s">
        <v>371</v>
      </c>
      <c r="B363" s="53">
        <v>45903</v>
      </c>
      <c r="C363" s="52" t="s">
        <v>1012</v>
      </c>
      <c r="D363" s="52" t="s">
        <v>1015</v>
      </c>
      <c r="E363" s="52">
        <v>198</v>
      </c>
      <c r="F363" s="52">
        <v>1217</v>
      </c>
      <c r="G363" s="52">
        <v>240966</v>
      </c>
      <c r="H363" s="52" t="s">
        <v>1027</v>
      </c>
      <c r="I363" s="52" t="s">
        <v>1026</v>
      </c>
      <c r="J363" s="53" t="s">
        <v>1031</v>
      </c>
    </row>
    <row r="364" spans="1:10" x14ac:dyDescent="0.25">
      <c r="A364" s="52" t="s">
        <v>372</v>
      </c>
      <c r="B364" s="53">
        <v>45931</v>
      </c>
      <c r="C364" s="52" t="s">
        <v>1012</v>
      </c>
      <c r="D364" s="52" t="s">
        <v>1021</v>
      </c>
      <c r="E364" s="52">
        <v>94</v>
      </c>
      <c r="F364" s="52">
        <v>727</v>
      </c>
      <c r="G364" s="52">
        <v>68338</v>
      </c>
      <c r="H364" s="52" t="s">
        <v>1025</v>
      </c>
      <c r="I364" s="52" t="s">
        <v>1029</v>
      </c>
      <c r="J364" s="53" t="s">
        <v>1031</v>
      </c>
    </row>
    <row r="365" spans="1:10" x14ac:dyDescent="0.25">
      <c r="A365" s="52" t="s">
        <v>373</v>
      </c>
      <c r="B365" s="53">
        <v>45731</v>
      </c>
      <c r="C365" s="52" t="s">
        <v>1011</v>
      </c>
      <c r="D365" s="52" t="s">
        <v>1020</v>
      </c>
      <c r="E365" s="52">
        <v>10</v>
      </c>
      <c r="F365" s="52">
        <v>43</v>
      </c>
      <c r="G365" s="52">
        <v>430</v>
      </c>
      <c r="H365" s="52" t="s">
        <v>1025</v>
      </c>
      <c r="I365" s="52" t="s">
        <v>1029</v>
      </c>
      <c r="J365" s="53" t="s">
        <v>1031</v>
      </c>
    </row>
    <row r="366" spans="1:10" x14ac:dyDescent="0.25">
      <c r="A366" s="52" t="s">
        <v>374</v>
      </c>
      <c r="B366" s="53">
        <v>45903</v>
      </c>
      <c r="C366" s="52" t="s">
        <v>1013</v>
      </c>
      <c r="D366" s="52" t="s">
        <v>1015</v>
      </c>
      <c r="E366" s="52">
        <v>210</v>
      </c>
      <c r="F366" s="52">
        <v>343</v>
      </c>
      <c r="G366" s="52">
        <v>72030</v>
      </c>
      <c r="H366" s="52" t="s">
        <v>1025</v>
      </c>
      <c r="I366" s="52" t="s">
        <v>1028</v>
      </c>
      <c r="J366" s="53">
        <v>45914</v>
      </c>
    </row>
    <row r="367" spans="1:10" x14ac:dyDescent="0.25">
      <c r="A367" s="52" t="s">
        <v>375</v>
      </c>
      <c r="B367" s="53">
        <v>46002</v>
      </c>
      <c r="C367" s="52" t="s">
        <v>1014</v>
      </c>
      <c r="D367" s="52" t="s">
        <v>1024</v>
      </c>
      <c r="E367" s="52">
        <v>388</v>
      </c>
      <c r="F367" s="52">
        <v>72</v>
      </c>
      <c r="G367" s="52">
        <v>27936</v>
      </c>
      <c r="H367" s="52" t="s">
        <v>1025</v>
      </c>
      <c r="I367" s="52" t="s">
        <v>1028</v>
      </c>
      <c r="J367" s="53">
        <v>46013</v>
      </c>
    </row>
    <row r="368" spans="1:10" x14ac:dyDescent="0.25">
      <c r="A368" s="52" t="s">
        <v>376</v>
      </c>
      <c r="B368" s="53">
        <v>45893</v>
      </c>
      <c r="C368" s="52" t="s">
        <v>1012</v>
      </c>
      <c r="D368" s="52" t="s">
        <v>1020</v>
      </c>
      <c r="E368" s="52">
        <v>451</v>
      </c>
      <c r="F368" s="52">
        <v>355</v>
      </c>
      <c r="G368" s="52">
        <v>160105</v>
      </c>
      <c r="H368" s="52" t="s">
        <v>1030</v>
      </c>
      <c r="I368" s="52" t="s">
        <v>1026</v>
      </c>
      <c r="J368" s="53" t="s">
        <v>1031</v>
      </c>
    </row>
    <row r="369" spans="1:10" x14ac:dyDescent="0.25">
      <c r="A369" s="52" t="s">
        <v>377</v>
      </c>
      <c r="B369" s="53">
        <v>46028</v>
      </c>
      <c r="C369" s="52" t="s">
        <v>1013</v>
      </c>
      <c r="D369" s="52" t="s">
        <v>1018</v>
      </c>
      <c r="E369" s="52">
        <v>193</v>
      </c>
      <c r="F369" s="52">
        <v>270</v>
      </c>
      <c r="G369" s="52">
        <v>52110</v>
      </c>
      <c r="H369" s="52" t="s">
        <v>1025</v>
      </c>
      <c r="I369" s="52" t="s">
        <v>1026</v>
      </c>
      <c r="J369" s="53" t="s">
        <v>1031</v>
      </c>
    </row>
    <row r="370" spans="1:10" x14ac:dyDescent="0.25">
      <c r="A370" s="52" t="s">
        <v>378</v>
      </c>
      <c r="B370" s="53">
        <v>46026</v>
      </c>
      <c r="C370" s="52" t="s">
        <v>1014</v>
      </c>
      <c r="D370" s="52" t="s">
        <v>1022</v>
      </c>
      <c r="E370" s="52">
        <v>174</v>
      </c>
      <c r="F370" s="52">
        <v>716</v>
      </c>
      <c r="G370" s="52">
        <v>124584</v>
      </c>
      <c r="H370" s="52" t="s">
        <v>1025</v>
      </c>
      <c r="I370" s="52" t="s">
        <v>1026</v>
      </c>
      <c r="J370" s="53" t="s">
        <v>1031</v>
      </c>
    </row>
    <row r="371" spans="1:10" x14ac:dyDescent="0.25">
      <c r="A371" s="52" t="s">
        <v>379</v>
      </c>
      <c r="B371" s="53">
        <v>45818</v>
      </c>
      <c r="C371" s="52" t="s">
        <v>1014</v>
      </c>
      <c r="D371" s="52" t="s">
        <v>1023</v>
      </c>
      <c r="E371" s="52">
        <v>218</v>
      </c>
      <c r="F371" s="52">
        <v>1842</v>
      </c>
      <c r="G371" s="52">
        <v>401556</v>
      </c>
      <c r="H371" s="52" t="s">
        <v>1027</v>
      </c>
      <c r="I371" s="52" t="s">
        <v>1028</v>
      </c>
      <c r="J371" s="53">
        <v>45823</v>
      </c>
    </row>
    <row r="372" spans="1:10" x14ac:dyDescent="0.25">
      <c r="A372" s="52" t="s">
        <v>380</v>
      </c>
      <c r="B372" s="53">
        <v>45828</v>
      </c>
      <c r="C372" s="52" t="s">
        <v>1014</v>
      </c>
      <c r="D372" s="52" t="s">
        <v>1016</v>
      </c>
      <c r="E372" s="52">
        <v>95</v>
      </c>
      <c r="F372" s="52">
        <v>1031</v>
      </c>
      <c r="G372" s="52">
        <v>97945</v>
      </c>
      <c r="H372" s="52" t="s">
        <v>1027</v>
      </c>
      <c r="I372" s="52" t="s">
        <v>1029</v>
      </c>
      <c r="J372" s="53" t="s">
        <v>1031</v>
      </c>
    </row>
    <row r="373" spans="1:10" x14ac:dyDescent="0.25">
      <c r="A373" s="52" t="s">
        <v>381</v>
      </c>
      <c r="B373" s="53">
        <v>45805</v>
      </c>
      <c r="C373" s="52" t="s">
        <v>1010</v>
      </c>
      <c r="D373" s="52" t="s">
        <v>1017</v>
      </c>
      <c r="E373" s="52">
        <v>141</v>
      </c>
      <c r="F373" s="52">
        <v>999</v>
      </c>
      <c r="G373" s="52">
        <v>140859</v>
      </c>
      <c r="H373" s="52" t="s">
        <v>1027</v>
      </c>
      <c r="I373" s="52" t="s">
        <v>1026</v>
      </c>
      <c r="J373" s="53" t="s">
        <v>1031</v>
      </c>
    </row>
    <row r="374" spans="1:10" x14ac:dyDescent="0.25">
      <c r="A374" s="52" t="s">
        <v>382</v>
      </c>
      <c r="B374" s="53">
        <v>45917</v>
      </c>
      <c r="C374" s="52" t="s">
        <v>1010</v>
      </c>
      <c r="D374" s="52" t="s">
        <v>1016</v>
      </c>
      <c r="E374" s="52">
        <v>11</v>
      </c>
      <c r="F374" s="52">
        <v>817</v>
      </c>
      <c r="G374" s="52">
        <v>8987</v>
      </c>
      <c r="H374" s="52" t="s">
        <v>1027</v>
      </c>
      <c r="I374" s="52" t="s">
        <v>1026</v>
      </c>
      <c r="J374" s="53" t="s">
        <v>1031</v>
      </c>
    </row>
    <row r="375" spans="1:10" x14ac:dyDescent="0.25">
      <c r="A375" s="52" t="s">
        <v>383</v>
      </c>
      <c r="B375" s="53">
        <v>45751</v>
      </c>
      <c r="C375" s="52" t="s">
        <v>1012</v>
      </c>
      <c r="D375" s="52" t="s">
        <v>1018</v>
      </c>
      <c r="E375" s="52">
        <v>429</v>
      </c>
      <c r="F375" s="52">
        <v>1283</v>
      </c>
      <c r="G375" s="52">
        <v>550407</v>
      </c>
      <c r="H375" s="52" t="s">
        <v>1030</v>
      </c>
      <c r="I375" s="52" t="s">
        <v>1029</v>
      </c>
      <c r="J375" s="53" t="s">
        <v>1031</v>
      </c>
    </row>
    <row r="376" spans="1:10" x14ac:dyDescent="0.25">
      <c r="A376" s="52" t="s">
        <v>384</v>
      </c>
      <c r="B376" s="53">
        <v>46011</v>
      </c>
      <c r="C376" s="52" t="s">
        <v>1012</v>
      </c>
      <c r="D376" s="52" t="s">
        <v>1024</v>
      </c>
      <c r="E376" s="52">
        <v>262</v>
      </c>
      <c r="F376" s="52">
        <v>1241</v>
      </c>
      <c r="G376" s="52">
        <v>325142</v>
      </c>
      <c r="H376" s="52" t="s">
        <v>1030</v>
      </c>
      <c r="I376" s="52" t="s">
        <v>1026</v>
      </c>
      <c r="J376" s="53" t="s">
        <v>1031</v>
      </c>
    </row>
    <row r="377" spans="1:10" x14ac:dyDescent="0.25">
      <c r="A377" s="52" t="s">
        <v>385</v>
      </c>
      <c r="B377" s="53">
        <v>45816</v>
      </c>
      <c r="C377" s="52" t="s">
        <v>1012</v>
      </c>
      <c r="D377" s="52" t="s">
        <v>1020</v>
      </c>
      <c r="E377" s="52">
        <v>383</v>
      </c>
      <c r="F377" s="52">
        <v>1499</v>
      </c>
      <c r="G377" s="52">
        <v>574117</v>
      </c>
      <c r="H377" s="52" t="s">
        <v>1025</v>
      </c>
      <c r="I377" s="52" t="s">
        <v>1029</v>
      </c>
      <c r="J377" s="53" t="s">
        <v>1031</v>
      </c>
    </row>
    <row r="378" spans="1:10" x14ac:dyDescent="0.25">
      <c r="A378" s="52" t="s">
        <v>386</v>
      </c>
      <c r="B378" s="53">
        <v>46016</v>
      </c>
      <c r="C378" s="52" t="s">
        <v>1011</v>
      </c>
      <c r="D378" s="52" t="s">
        <v>1017</v>
      </c>
      <c r="E378" s="52">
        <v>85</v>
      </c>
      <c r="F378" s="52">
        <v>68</v>
      </c>
      <c r="G378" s="52">
        <v>5780</v>
      </c>
      <c r="H378" s="52" t="s">
        <v>1025</v>
      </c>
      <c r="I378" s="52" t="s">
        <v>1029</v>
      </c>
      <c r="J378" s="53" t="s">
        <v>1031</v>
      </c>
    </row>
    <row r="379" spans="1:10" x14ac:dyDescent="0.25">
      <c r="A379" s="52" t="s">
        <v>387</v>
      </c>
      <c r="B379" s="53">
        <v>46028</v>
      </c>
      <c r="C379" s="52" t="s">
        <v>1011</v>
      </c>
      <c r="D379" s="52" t="s">
        <v>1023</v>
      </c>
      <c r="E379" s="52">
        <v>332</v>
      </c>
      <c r="F379" s="52">
        <v>970</v>
      </c>
      <c r="G379" s="52">
        <v>322040</v>
      </c>
      <c r="H379" s="52" t="s">
        <v>1030</v>
      </c>
      <c r="I379" s="52" t="s">
        <v>1029</v>
      </c>
      <c r="J379" s="53" t="s">
        <v>1031</v>
      </c>
    </row>
    <row r="380" spans="1:10" x14ac:dyDescent="0.25">
      <c r="A380" s="52" t="s">
        <v>388</v>
      </c>
      <c r="B380" s="53">
        <v>45710</v>
      </c>
      <c r="C380" s="52" t="s">
        <v>1010</v>
      </c>
      <c r="D380" s="52" t="s">
        <v>1018</v>
      </c>
      <c r="E380" s="52">
        <v>20</v>
      </c>
      <c r="F380" s="52">
        <v>269</v>
      </c>
      <c r="G380" s="52">
        <v>5380</v>
      </c>
      <c r="H380" s="52" t="s">
        <v>1027</v>
      </c>
      <c r="I380" s="52" t="s">
        <v>1028</v>
      </c>
      <c r="J380" s="53">
        <v>45719</v>
      </c>
    </row>
    <row r="381" spans="1:10" x14ac:dyDescent="0.25">
      <c r="A381" s="52" t="s">
        <v>389</v>
      </c>
      <c r="B381" s="53">
        <v>45833</v>
      </c>
      <c r="C381" s="52" t="s">
        <v>1011</v>
      </c>
      <c r="D381" s="52" t="s">
        <v>1019</v>
      </c>
      <c r="E381" s="52">
        <v>96</v>
      </c>
      <c r="F381" s="52">
        <v>24</v>
      </c>
      <c r="G381" s="52">
        <v>2304</v>
      </c>
      <c r="H381" s="52" t="s">
        <v>1030</v>
      </c>
      <c r="I381" s="52" t="s">
        <v>1029</v>
      </c>
      <c r="J381" s="53" t="s">
        <v>1031</v>
      </c>
    </row>
    <row r="382" spans="1:10" x14ac:dyDescent="0.25">
      <c r="A382" s="52" t="s">
        <v>390</v>
      </c>
      <c r="B382" s="53">
        <v>45810</v>
      </c>
      <c r="C382" s="52" t="s">
        <v>1013</v>
      </c>
      <c r="D382" s="52" t="s">
        <v>1016</v>
      </c>
      <c r="E382" s="52">
        <v>228</v>
      </c>
      <c r="F382" s="52">
        <v>1764</v>
      </c>
      <c r="G382" s="52">
        <v>402192</v>
      </c>
      <c r="H382" s="52" t="s">
        <v>1027</v>
      </c>
      <c r="I382" s="52" t="s">
        <v>1028</v>
      </c>
      <c r="J382" s="53">
        <v>45820</v>
      </c>
    </row>
    <row r="383" spans="1:10" x14ac:dyDescent="0.25">
      <c r="A383" s="52" t="s">
        <v>391</v>
      </c>
      <c r="B383" s="53">
        <v>46044</v>
      </c>
      <c r="C383" s="52" t="s">
        <v>1010</v>
      </c>
      <c r="D383" s="52" t="s">
        <v>1021</v>
      </c>
      <c r="E383" s="52">
        <v>293</v>
      </c>
      <c r="F383" s="52">
        <v>1337</v>
      </c>
      <c r="G383" s="52">
        <v>391741</v>
      </c>
      <c r="H383" s="52" t="s">
        <v>1030</v>
      </c>
      <c r="I383" s="52" t="s">
        <v>1029</v>
      </c>
      <c r="J383" s="53" t="s">
        <v>1031</v>
      </c>
    </row>
    <row r="384" spans="1:10" x14ac:dyDescent="0.25">
      <c r="A384" s="52" t="s">
        <v>392</v>
      </c>
      <c r="B384" s="53">
        <v>46019</v>
      </c>
      <c r="C384" s="52" t="s">
        <v>1012</v>
      </c>
      <c r="D384" s="52" t="s">
        <v>1024</v>
      </c>
      <c r="E384" s="52">
        <v>283</v>
      </c>
      <c r="F384" s="52">
        <v>754</v>
      </c>
      <c r="G384" s="52">
        <v>213382</v>
      </c>
      <c r="H384" s="52" t="s">
        <v>1030</v>
      </c>
      <c r="I384" s="52" t="s">
        <v>1028</v>
      </c>
      <c r="J384" s="53">
        <v>46031</v>
      </c>
    </row>
    <row r="385" spans="1:10" x14ac:dyDescent="0.25">
      <c r="A385" s="52" t="s">
        <v>393</v>
      </c>
      <c r="B385" s="53">
        <v>45809</v>
      </c>
      <c r="C385" s="52" t="s">
        <v>1012</v>
      </c>
      <c r="D385" s="52" t="s">
        <v>1022</v>
      </c>
      <c r="E385" s="52">
        <v>152</v>
      </c>
      <c r="F385" s="52">
        <v>541</v>
      </c>
      <c r="G385" s="52">
        <v>82232</v>
      </c>
      <c r="H385" s="52" t="s">
        <v>1025</v>
      </c>
      <c r="I385" s="52" t="s">
        <v>1028</v>
      </c>
      <c r="J385" s="53">
        <v>45815</v>
      </c>
    </row>
    <row r="386" spans="1:10" x14ac:dyDescent="0.25">
      <c r="A386" s="52" t="s">
        <v>394</v>
      </c>
      <c r="B386" s="53">
        <v>45972</v>
      </c>
      <c r="C386" s="52" t="s">
        <v>1010</v>
      </c>
      <c r="D386" s="52" t="s">
        <v>1015</v>
      </c>
      <c r="E386" s="52">
        <v>445</v>
      </c>
      <c r="F386" s="52">
        <v>1470</v>
      </c>
      <c r="G386" s="52">
        <v>654150</v>
      </c>
      <c r="H386" s="52" t="s">
        <v>1027</v>
      </c>
      <c r="I386" s="52" t="s">
        <v>1028</v>
      </c>
      <c r="J386" s="53">
        <v>45978</v>
      </c>
    </row>
    <row r="387" spans="1:10" x14ac:dyDescent="0.25">
      <c r="A387" s="52" t="s">
        <v>395</v>
      </c>
      <c r="B387" s="53">
        <v>45917</v>
      </c>
      <c r="C387" s="52" t="s">
        <v>1010</v>
      </c>
      <c r="D387" s="52" t="s">
        <v>1017</v>
      </c>
      <c r="E387" s="52">
        <v>140</v>
      </c>
      <c r="F387" s="52">
        <v>1908</v>
      </c>
      <c r="G387" s="52">
        <v>267120</v>
      </c>
      <c r="H387" s="52" t="s">
        <v>1030</v>
      </c>
      <c r="I387" s="52" t="s">
        <v>1026</v>
      </c>
      <c r="J387" s="53" t="s">
        <v>1031</v>
      </c>
    </row>
    <row r="388" spans="1:10" x14ac:dyDescent="0.25">
      <c r="A388" s="52" t="s">
        <v>396</v>
      </c>
      <c r="B388" s="53">
        <v>45857</v>
      </c>
      <c r="C388" s="52" t="s">
        <v>1011</v>
      </c>
      <c r="D388" s="52" t="s">
        <v>1021</v>
      </c>
      <c r="E388" s="52">
        <v>377</v>
      </c>
      <c r="F388" s="52">
        <v>1219</v>
      </c>
      <c r="G388" s="52">
        <v>459563</v>
      </c>
      <c r="H388" s="52" t="s">
        <v>1027</v>
      </c>
      <c r="I388" s="52" t="s">
        <v>1026</v>
      </c>
      <c r="J388" s="53" t="s">
        <v>1031</v>
      </c>
    </row>
    <row r="389" spans="1:10" x14ac:dyDescent="0.25">
      <c r="A389" s="52" t="s">
        <v>397</v>
      </c>
      <c r="B389" s="53">
        <v>45736</v>
      </c>
      <c r="C389" s="52" t="s">
        <v>1014</v>
      </c>
      <c r="D389" s="52" t="s">
        <v>1017</v>
      </c>
      <c r="E389" s="52">
        <v>424</v>
      </c>
      <c r="F389" s="52">
        <v>773</v>
      </c>
      <c r="G389" s="52">
        <v>327752</v>
      </c>
      <c r="H389" s="52" t="s">
        <v>1027</v>
      </c>
      <c r="I389" s="52" t="s">
        <v>1028</v>
      </c>
      <c r="J389" s="53">
        <v>45749</v>
      </c>
    </row>
    <row r="390" spans="1:10" x14ac:dyDescent="0.25">
      <c r="A390" s="52" t="s">
        <v>398</v>
      </c>
      <c r="B390" s="53">
        <v>46035</v>
      </c>
      <c r="C390" s="52" t="s">
        <v>1010</v>
      </c>
      <c r="D390" s="52" t="s">
        <v>1017</v>
      </c>
      <c r="E390" s="52">
        <v>386</v>
      </c>
      <c r="F390" s="52">
        <v>384</v>
      </c>
      <c r="G390" s="52">
        <v>148224</v>
      </c>
      <c r="H390" s="52" t="s">
        <v>1027</v>
      </c>
      <c r="I390" s="52" t="s">
        <v>1028</v>
      </c>
      <c r="J390" s="53">
        <v>46042</v>
      </c>
    </row>
    <row r="391" spans="1:10" x14ac:dyDescent="0.25">
      <c r="A391" s="52" t="s">
        <v>399</v>
      </c>
      <c r="B391" s="53">
        <v>45736</v>
      </c>
      <c r="C391" s="52" t="s">
        <v>1013</v>
      </c>
      <c r="D391" s="52" t="s">
        <v>1018</v>
      </c>
      <c r="E391" s="52">
        <v>118</v>
      </c>
      <c r="F391" s="52">
        <v>832</v>
      </c>
      <c r="G391" s="52">
        <v>98176</v>
      </c>
      <c r="H391" s="52" t="s">
        <v>1030</v>
      </c>
      <c r="I391" s="52" t="s">
        <v>1028</v>
      </c>
      <c r="J391" s="53">
        <v>45745</v>
      </c>
    </row>
    <row r="392" spans="1:10" x14ac:dyDescent="0.25">
      <c r="A392" s="52" t="s">
        <v>400</v>
      </c>
      <c r="B392" s="53">
        <v>45943</v>
      </c>
      <c r="C392" s="52" t="s">
        <v>1014</v>
      </c>
      <c r="D392" s="52" t="s">
        <v>1021</v>
      </c>
      <c r="E392" s="52">
        <v>265</v>
      </c>
      <c r="F392" s="52">
        <v>1526</v>
      </c>
      <c r="G392" s="52">
        <v>404390</v>
      </c>
      <c r="H392" s="52" t="s">
        <v>1030</v>
      </c>
      <c r="I392" s="52" t="s">
        <v>1028</v>
      </c>
      <c r="J392" s="53">
        <v>45950</v>
      </c>
    </row>
    <row r="393" spans="1:10" x14ac:dyDescent="0.25">
      <c r="A393" s="52" t="s">
        <v>401</v>
      </c>
      <c r="B393" s="53">
        <v>45776</v>
      </c>
      <c r="C393" s="52" t="s">
        <v>1013</v>
      </c>
      <c r="D393" s="52" t="s">
        <v>1016</v>
      </c>
      <c r="E393" s="52">
        <v>274</v>
      </c>
      <c r="F393" s="52">
        <v>57</v>
      </c>
      <c r="G393" s="52">
        <v>15618</v>
      </c>
      <c r="H393" s="52" t="s">
        <v>1030</v>
      </c>
      <c r="I393" s="52" t="s">
        <v>1028</v>
      </c>
      <c r="J393" s="53">
        <v>45788</v>
      </c>
    </row>
    <row r="394" spans="1:10" x14ac:dyDescent="0.25">
      <c r="A394" s="52" t="s">
        <v>402</v>
      </c>
      <c r="B394" s="53">
        <v>45905</v>
      </c>
      <c r="C394" s="52" t="s">
        <v>1014</v>
      </c>
      <c r="D394" s="52" t="s">
        <v>1015</v>
      </c>
      <c r="E394" s="52">
        <v>302</v>
      </c>
      <c r="F394" s="52">
        <v>1971</v>
      </c>
      <c r="G394" s="52">
        <v>595242</v>
      </c>
      <c r="H394" s="52" t="s">
        <v>1025</v>
      </c>
      <c r="I394" s="52" t="s">
        <v>1028</v>
      </c>
      <c r="J394" s="53">
        <v>45919</v>
      </c>
    </row>
    <row r="395" spans="1:10" x14ac:dyDescent="0.25">
      <c r="A395" s="52" t="s">
        <v>403</v>
      </c>
      <c r="B395" s="53">
        <v>45895</v>
      </c>
      <c r="C395" s="52" t="s">
        <v>1014</v>
      </c>
      <c r="D395" s="52" t="s">
        <v>1021</v>
      </c>
      <c r="E395" s="52">
        <v>484</v>
      </c>
      <c r="F395" s="52">
        <v>1109</v>
      </c>
      <c r="G395" s="52">
        <v>536756</v>
      </c>
      <c r="H395" s="52" t="s">
        <v>1030</v>
      </c>
      <c r="I395" s="52" t="s">
        <v>1028</v>
      </c>
      <c r="J395" s="53">
        <v>45906</v>
      </c>
    </row>
    <row r="396" spans="1:10" x14ac:dyDescent="0.25">
      <c r="A396" s="52" t="s">
        <v>404</v>
      </c>
      <c r="B396" s="53">
        <v>45798</v>
      </c>
      <c r="C396" s="52" t="s">
        <v>1011</v>
      </c>
      <c r="D396" s="52" t="s">
        <v>1022</v>
      </c>
      <c r="E396" s="52">
        <v>247</v>
      </c>
      <c r="F396" s="52">
        <v>579</v>
      </c>
      <c r="G396" s="52">
        <v>143013</v>
      </c>
      <c r="H396" s="52" t="s">
        <v>1027</v>
      </c>
      <c r="I396" s="52" t="s">
        <v>1026</v>
      </c>
      <c r="J396" s="53" t="s">
        <v>1031</v>
      </c>
    </row>
    <row r="397" spans="1:10" x14ac:dyDescent="0.25">
      <c r="A397" s="52" t="s">
        <v>405</v>
      </c>
      <c r="B397" s="53">
        <v>45830</v>
      </c>
      <c r="C397" s="52" t="s">
        <v>1012</v>
      </c>
      <c r="D397" s="52" t="s">
        <v>1016</v>
      </c>
      <c r="E397" s="52">
        <v>303</v>
      </c>
      <c r="F397" s="52">
        <v>139</v>
      </c>
      <c r="G397" s="52">
        <v>42117</v>
      </c>
      <c r="H397" s="52" t="s">
        <v>1025</v>
      </c>
      <c r="I397" s="52" t="s">
        <v>1028</v>
      </c>
      <c r="J397" s="53">
        <v>45839</v>
      </c>
    </row>
    <row r="398" spans="1:10" x14ac:dyDescent="0.25">
      <c r="A398" s="52" t="s">
        <v>406</v>
      </c>
      <c r="B398" s="53">
        <v>46002</v>
      </c>
      <c r="C398" s="52" t="s">
        <v>1011</v>
      </c>
      <c r="D398" s="52" t="s">
        <v>1018</v>
      </c>
      <c r="E398" s="52">
        <v>230</v>
      </c>
      <c r="F398" s="52">
        <v>889</v>
      </c>
      <c r="G398" s="52">
        <v>204470</v>
      </c>
      <c r="H398" s="52" t="s">
        <v>1027</v>
      </c>
      <c r="I398" s="52" t="s">
        <v>1026</v>
      </c>
      <c r="J398" s="53" t="s">
        <v>1031</v>
      </c>
    </row>
    <row r="399" spans="1:10" x14ac:dyDescent="0.25">
      <c r="A399" s="52" t="s">
        <v>407</v>
      </c>
      <c r="B399" s="53">
        <v>45712</v>
      </c>
      <c r="C399" s="52" t="s">
        <v>1010</v>
      </c>
      <c r="D399" s="52" t="s">
        <v>1015</v>
      </c>
      <c r="E399" s="52">
        <v>456</v>
      </c>
      <c r="F399" s="52">
        <v>1350</v>
      </c>
      <c r="G399" s="52">
        <v>615600</v>
      </c>
      <c r="H399" s="52" t="s">
        <v>1025</v>
      </c>
      <c r="I399" s="52" t="s">
        <v>1029</v>
      </c>
      <c r="J399" s="53" t="s">
        <v>1031</v>
      </c>
    </row>
    <row r="400" spans="1:10" x14ac:dyDescent="0.25">
      <c r="A400" s="52" t="s">
        <v>408</v>
      </c>
      <c r="B400" s="53">
        <v>46011</v>
      </c>
      <c r="C400" s="52" t="s">
        <v>1013</v>
      </c>
      <c r="D400" s="52" t="s">
        <v>1023</v>
      </c>
      <c r="E400" s="52">
        <v>88</v>
      </c>
      <c r="F400" s="52">
        <v>997</v>
      </c>
      <c r="G400" s="52">
        <v>87736</v>
      </c>
      <c r="H400" s="52" t="s">
        <v>1030</v>
      </c>
      <c r="I400" s="52" t="s">
        <v>1029</v>
      </c>
      <c r="J400" s="53" t="s">
        <v>1031</v>
      </c>
    </row>
    <row r="401" spans="1:10" x14ac:dyDescent="0.25">
      <c r="A401" s="52" t="s">
        <v>409</v>
      </c>
      <c r="B401" s="53">
        <v>45716</v>
      </c>
      <c r="C401" s="52" t="s">
        <v>1010</v>
      </c>
      <c r="D401" s="52" t="s">
        <v>1017</v>
      </c>
      <c r="E401" s="52">
        <v>215</v>
      </c>
      <c r="F401" s="52">
        <v>1043</v>
      </c>
      <c r="G401" s="52">
        <v>224245</v>
      </c>
      <c r="H401" s="52" t="s">
        <v>1027</v>
      </c>
      <c r="I401" s="52" t="s">
        <v>1026</v>
      </c>
      <c r="J401" s="53" t="s">
        <v>1031</v>
      </c>
    </row>
    <row r="402" spans="1:10" x14ac:dyDescent="0.25">
      <c r="A402" s="52" t="s">
        <v>410</v>
      </c>
      <c r="B402" s="53">
        <v>45934</v>
      </c>
      <c r="C402" s="52" t="s">
        <v>1014</v>
      </c>
      <c r="D402" s="52" t="s">
        <v>1016</v>
      </c>
      <c r="E402" s="52">
        <v>490</v>
      </c>
      <c r="F402" s="52">
        <v>1645</v>
      </c>
      <c r="G402" s="52">
        <v>806050</v>
      </c>
      <c r="H402" s="52" t="s">
        <v>1027</v>
      </c>
      <c r="I402" s="52" t="s">
        <v>1028</v>
      </c>
      <c r="J402" s="53">
        <v>45949</v>
      </c>
    </row>
    <row r="403" spans="1:10" x14ac:dyDescent="0.25">
      <c r="A403" s="52" t="s">
        <v>411</v>
      </c>
      <c r="B403" s="53">
        <v>45943</v>
      </c>
      <c r="C403" s="52" t="s">
        <v>1010</v>
      </c>
      <c r="D403" s="52" t="s">
        <v>1017</v>
      </c>
      <c r="E403" s="52">
        <v>146</v>
      </c>
      <c r="F403" s="52">
        <v>1145</v>
      </c>
      <c r="G403" s="52">
        <v>167170</v>
      </c>
      <c r="H403" s="52" t="s">
        <v>1027</v>
      </c>
      <c r="I403" s="52" t="s">
        <v>1029</v>
      </c>
      <c r="J403" s="53" t="s">
        <v>1031</v>
      </c>
    </row>
    <row r="404" spans="1:10" x14ac:dyDescent="0.25">
      <c r="A404" s="52" t="s">
        <v>412</v>
      </c>
      <c r="B404" s="53">
        <v>45950</v>
      </c>
      <c r="C404" s="52" t="s">
        <v>1012</v>
      </c>
      <c r="D404" s="52" t="s">
        <v>1023</v>
      </c>
      <c r="E404" s="52">
        <v>279</v>
      </c>
      <c r="F404" s="52">
        <v>899</v>
      </c>
      <c r="G404" s="52">
        <v>250821</v>
      </c>
      <c r="H404" s="52" t="s">
        <v>1027</v>
      </c>
      <c r="I404" s="52" t="s">
        <v>1028</v>
      </c>
      <c r="J404" s="53">
        <v>45958</v>
      </c>
    </row>
    <row r="405" spans="1:10" x14ac:dyDescent="0.25">
      <c r="A405" s="52" t="s">
        <v>413</v>
      </c>
      <c r="B405" s="53">
        <v>45705</v>
      </c>
      <c r="C405" s="52" t="s">
        <v>1013</v>
      </c>
      <c r="D405" s="52" t="s">
        <v>1016</v>
      </c>
      <c r="E405" s="52">
        <v>120</v>
      </c>
      <c r="F405" s="52">
        <v>728</v>
      </c>
      <c r="G405" s="52">
        <v>87360</v>
      </c>
      <c r="H405" s="52" t="s">
        <v>1027</v>
      </c>
      <c r="I405" s="52" t="s">
        <v>1029</v>
      </c>
      <c r="J405" s="53" t="s">
        <v>1031</v>
      </c>
    </row>
    <row r="406" spans="1:10" x14ac:dyDescent="0.25">
      <c r="A406" s="52" t="s">
        <v>414</v>
      </c>
      <c r="B406" s="53">
        <v>46045</v>
      </c>
      <c r="C406" s="52" t="s">
        <v>1011</v>
      </c>
      <c r="D406" s="52" t="s">
        <v>1024</v>
      </c>
      <c r="E406" s="52">
        <v>56</v>
      </c>
      <c r="F406" s="52">
        <v>484</v>
      </c>
      <c r="G406" s="52">
        <v>27104</v>
      </c>
      <c r="H406" s="52" t="s">
        <v>1025</v>
      </c>
      <c r="I406" s="52" t="s">
        <v>1028</v>
      </c>
      <c r="J406" s="53">
        <v>46051</v>
      </c>
    </row>
    <row r="407" spans="1:10" x14ac:dyDescent="0.25">
      <c r="A407" s="52" t="s">
        <v>415</v>
      </c>
      <c r="B407" s="53">
        <v>45964</v>
      </c>
      <c r="C407" s="52" t="s">
        <v>1012</v>
      </c>
      <c r="D407" s="52" t="s">
        <v>1020</v>
      </c>
      <c r="E407" s="52">
        <v>67</v>
      </c>
      <c r="F407" s="52">
        <v>1719</v>
      </c>
      <c r="G407" s="52">
        <v>115173</v>
      </c>
      <c r="H407" s="52" t="s">
        <v>1025</v>
      </c>
      <c r="I407" s="52" t="s">
        <v>1026</v>
      </c>
      <c r="J407" s="53" t="s">
        <v>1031</v>
      </c>
    </row>
    <row r="408" spans="1:10" x14ac:dyDescent="0.25">
      <c r="A408" s="52" t="s">
        <v>416</v>
      </c>
      <c r="B408" s="53">
        <v>45756</v>
      </c>
      <c r="C408" s="52" t="s">
        <v>1011</v>
      </c>
      <c r="D408" s="52" t="s">
        <v>1016</v>
      </c>
      <c r="E408" s="52">
        <v>131</v>
      </c>
      <c r="F408" s="52">
        <v>1738</v>
      </c>
      <c r="G408" s="52">
        <v>227678</v>
      </c>
      <c r="H408" s="52" t="s">
        <v>1030</v>
      </c>
      <c r="I408" s="52" t="s">
        <v>1028</v>
      </c>
      <c r="J408" s="53">
        <v>45765</v>
      </c>
    </row>
    <row r="409" spans="1:10" x14ac:dyDescent="0.25">
      <c r="A409" s="52" t="s">
        <v>417</v>
      </c>
      <c r="B409" s="53">
        <v>45868</v>
      </c>
      <c r="C409" s="52" t="s">
        <v>1011</v>
      </c>
      <c r="D409" s="52" t="s">
        <v>1024</v>
      </c>
      <c r="E409" s="52">
        <v>188</v>
      </c>
      <c r="F409" s="52">
        <v>1266</v>
      </c>
      <c r="G409" s="52">
        <v>238008</v>
      </c>
      <c r="H409" s="52" t="s">
        <v>1030</v>
      </c>
      <c r="I409" s="52" t="s">
        <v>1029</v>
      </c>
      <c r="J409" s="53" t="s">
        <v>1031</v>
      </c>
    </row>
    <row r="410" spans="1:10" x14ac:dyDescent="0.25">
      <c r="A410" s="52" t="s">
        <v>418</v>
      </c>
      <c r="B410" s="53">
        <v>45877</v>
      </c>
      <c r="C410" s="52" t="s">
        <v>1011</v>
      </c>
      <c r="D410" s="52" t="s">
        <v>1019</v>
      </c>
      <c r="E410" s="52">
        <v>24</v>
      </c>
      <c r="F410" s="52">
        <v>1995</v>
      </c>
      <c r="G410" s="52">
        <v>47880</v>
      </c>
      <c r="H410" s="52" t="s">
        <v>1027</v>
      </c>
      <c r="I410" s="52" t="s">
        <v>1026</v>
      </c>
      <c r="J410" s="53" t="s">
        <v>1031</v>
      </c>
    </row>
    <row r="411" spans="1:10" x14ac:dyDescent="0.25">
      <c r="A411" s="52" t="s">
        <v>419</v>
      </c>
      <c r="B411" s="53">
        <v>45738</v>
      </c>
      <c r="C411" s="52" t="s">
        <v>1014</v>
      </c>
      <c r="D411" s="52" t="s">
        <v>1018</v>
      </c>
      <c r="E411" s="52">
        <v>143</v>
      </c>
      <c r="F411" s="52">
        <v>1916</v>
      </c>
      <c r="G411" s="52">
        <v>273988</v>
      </c>
      <c r="H411" s="52" t="s">
        <v>1027</v>
      </c>
      <c r="I411" s="52" t="s">
        <v>1026</v>
      </c>
      <c r="J411" s="53" t="s">
        <v>1031</v>
      </c>
    </row>
    <row r="412" spans="1:10" x14ac:dyDescent="0.25">
      <c r="A412" s="52" t="s">
        <v>420</v>
      </c>
      <c r="B412" s="53">
        <v>45677</v>
      </c>
      <c r="C412" s="52" t="s">
        <v>1014</v>
      </c>
      <c r="D412" s="52" t="s">
        <v>1016</v>
      </c>
      <c r="E412" s="52">
        <v>8</v>
      </c>
      <c r="F412" s="52">
        <v>97</v>
      </c>
      <c r="G412" s="52">
        <v>776</v>
      </c>
      <c r="H412" s="52" t="s">
        <v>1025</v>
      </c>
      <c r="I412" s="52" t="s">
        <v>1029</v>
      </c>
      <c r="J412" s="53" t="s">
        <v>1031</v>
      </c>
    </row>
    <row r="413" spans="1:10" x14ac:dyDescent="0.25">
      <c r="A413" s="52" t="s">
        <v>421</v>
      </c>
      <c r="B413" s="53">
        <v>45802</v>
      </c>
      <c r="C413" s="52" t="s">
        <v>1014</v>
      </c>
      <c r="D413" s="52" t="s">
        <v>1024</v>
      </c>
      <c r="E413" s="52">
        <v>152</v>
      </c>
      <c r="F413" s="52">
        <v>831</v>
      </c>
      <c r="G413" s="52">
        <v>126312</v>
      </c>
      <c r="H413" s="52" t="s">
        <v>1025</v>
      </c>
      <c r="I413" s="52" t="s">
        <v>1028</v>
      </c>
      <c r="J413" s="53">
        <v>45814</v>
      </c>
    </row>
    <row r="414" spans="1:10" x14ac:dyDescent="0.25">
      <c r="A414" s="52" t="s">
        <v>422</v>
      </c>
      <c r="B414" s="53">
        <v>45737</v>
      </c>
      <c r="C414" s="52" t="s">
        <v>1011</v>
      </c>
      <c r="D414" s="52" t="s">
        <v>1019</v>
      </c>
      <c r="E414" s="52">
        <v>457</v>
      </c>
      <c r="F414" s="52">
        <v>610</v>
      </c>
      <c r="G414" s="52">
        <v>278770</v>
      </c>
      <c r="H414" s="52" t="s">
        <v>1030</v>
      </c>
      <c r="I414" s="52" t="s">
        <v>1028</v>
      </c>
      <c r="J414" s="53">
        <v>45747</v>
      </c>
    </row>
    <row r="415" spans="1:10" x14ac:dyDescent="0.25">
      <c r="A415" s="52" t="s">
        <v>423</v>
      </c>
      <c r="B415" s="53">
        <v>45658</v>
      </c>
      <c r="C415" s="52" t="s">
        <v>1012</v>
      </c>
      <c r="D415" s="52" t="s">
        <v>1017</v>
      </c>
      <c r="E415" s="52">
        <v>76</v>
      </c>
      <c r="F415" s="52">
        <v>1807</v>
      </c>
      <c r="G415" s="52">
        <v>137332</v>
      </c>
      <c r="H415" s="52" t="s">
        <v>1025</v>
      </c>
      <c r="I415" s="52" t="s">
        <v>1028</v>
      </c>
      <c r="J415" s="53">
        <v>45672</v>
      </c>
    </row>
    <row r="416" spans="1:10" x14ac:dyDescent="0.25">
      <c r="A416" s="52" t="s">
        <v>424</v>
      </c>
      <c r="B416" s="53">
        <v>45795</v>
      </c>
      <c r="C416" s="52" t="s">
        <v>1013</v>
      </c>
      <c r="D416" s="52" t="s">
        <v>1023</v>
      </c>
      <c r="E416" s="52">
        <v>277</v>
      </c>
      <c r="F416" s="52">
        <v>1772</v>
      </c>
      <c r="G416" s="52">
        <v>490844</v>
      </c>
      <c r="H416" s="52" t="s">
        <v>1025</v>
      </c>
      <c r="I416" s="52" t="s">
        <v>1029</v>
      </c>
      <c r="J416" s="53" t="s">
        <v>1031</v>
      </c>
    </row>
    <row r="417" spans="1:10" x14ac:dyDescent="0.25">
      <c r="A417" s="52" t="s">
        <v>425</v>
      </c>
      <c r="B417" s="53">
        <v>45686</v>
      </c>
      <c r="C417" s="52" t="s">
        <v>1012</v>
      </c>
      <c r="D417" s="52" t="s">
        <v>1016</v>
      </c>
      <c r="E417" s="52">
        <v>64</v>
      </c>
      <c r="F417" s="52">
        <v>1722</v>
      </c>
      <c r="G417" s="52">
        <v>110208</v>
      </c>
      <c r="H417" s="52" t="s">
        <v>1025</v>
      </c>
      <c r="I417" s="52" t="s">
        <v>1029</v>
      </c>
      <c r="J417" s="53" t="s">
        <v>1031</v>
      </c>
    </row>
    <row r="418" spans="1:10" x14ac:dyDescent="0.25">
      <c r="A418" s="52" t="s">
        <v>426</v>
      </c>
      <c r="B418" s="53">
        <v>45947</v>
      </c>
      <c r="C418" s="52" t="s">
        <v>1011</v>
      </c>
      <c r="D418" s="52" t="s">
        <v>1021</v>
      </c>
      <c r="E418" s="52">
        <v>167</v>
      </c>
      <c r="F418" s="52">
        <v>1403</v>
      </c>
      <c r="G418" s="52">
        <v>234301</v>
      </c>
      <c r="H418" s="52" t="s">
        <v>1025</v>
      </c>
      <c r="I418" s="52" t="s">
        <v>1026</v>
      </c>
      <c r="J418" s="53" t="s">
        <v>1031</v>
      </c>
    </row>
    <row r="419" spans="1:10" x14ac:dyDescent="0.25">
      <c r="A419" s="52" t="s">
        <v>427</v>
      </c>
      <c r="B419" s="53">
        <v>45759</v>
      </c>
      <c r="C419" s="52" t="s">
        <v>1012</v>
      </c>
      <c r="D419" s="52" t="s">
        <v>1015</v>
      </c>
      <c r="E419" s="52">
        <v>435</v>
      </c>
      <c r="F419" s="52">
        <v>1933</v>
      </c>
      <c r="G419" s="52">
        <v>840855</v>
      </c>
      <c r="H419" s="52" t="s">
        <v>1027</v>
      </c>
      <c r="I419" s="52" t="s">
        <v>1028</v>
      </c>
      <c r="J419" s="53">
        <v>45768</v>
      </c>
    </row>
    <row r="420" spans="1:10" x14ac:dyDescent="0.25">
      <c r="A420" s="52" t="s">
        <v>428</v>
      </c>
      <c r="B420" s="53">
        <v>45968</v>
      </c>
      <c r="C420" s="52" t="s">
        <v>1014</v>
      </c>
      <c r="D420" s="52" t="s">
        <v>1015</v>
      </c>
      <c r="E420" s="52">
        <v>438</v>
      </c>
      <c r="F420" s="52">
        <v>913</v>
      </c>
      <c r="G420" s="52">
        <v>399894</v>
      </c>
      <c r="H420" s="52" t="s">
        <v>1027</v>
      </c>
      <c r="I420" s="52" t="s">
        <v>1029</v>
      </c>
      <c r="J420" s="53" t="s">
        <v>1031</v>
      </c>
    </row>
    <row r="421" spans="1:10" x14ac:dyDescent="0.25">
      <c r="A421" s="52" t="s">
        <v>429</v>
      </c>
      <c r="B421" s="53">
        <v>45922</v>
      </c>
      <c r="C421" s="52" t="s">
        <v>1012</v>
      </c>
      <c r="D421" s="52" t="s">
        <v>1015</v>
      </c>
      <c r="E421" s="52">
        <v>93</v>
      </c>
      <c r="F421" s="52">
        <v>430</v>
      </c>
      <c r="G421" s="52">
        <v>39990</v>
      </c>
      <c r="H421" s="52" t="s">
        <v>1027</v>
      </c>
      <c r="I421" s="52" t="s">
        <v>1029</v>
      </c>
      <c r="J421" s="53" t="s">
        <v>1031</v>
      </c>
    </row>
    <row r="422" spans="1:10" x14ac:dyDescent="0.25">
      <c r="A422" s="52" t="s">
        <v>430</v>
      </c>
      <c r="B422" s="53">
        <v>45780</v>
      </c>
      <c r="C422" s="52" t="s">
        <v>1010</v>
      </c>
      <c r="D422" s="52" t="s">
        <v>1023</v>
      </c>
      <c r="E422" s="52">
        <v>473</v>
      </c>
      <c r="F422" s="52">
        <v>1071</v>
      </c>
      <c r="G422" s="52">
        <v>506583</v>
      </c>
      <c r="H422" s="52" t="s">
        <v>1030</v>
      </c>
      <c r="I422" s="52" t="s">
        <v>1029</v>
      </c>
      <c r="J422" s="53" t="s">
        <v>1031</v>
      </c>
    </row>
    <row r="423" spans="1:10" x14ac:dyDescent="0.25">
      <c r="A423" s="52" t="s">
        <v>431</v>
      </c>
      <c r="B423" s="53">
        <v>46037</v>
      </c>
      <c r="C423" s="52" t="s">
        <v>1011</v>
      </c>
      <c r="D423" s="52" t="s">
        <v>1021</v>
      </c>
      <c r="E423" s="52">
        <v>270</v>
      </c>
      <c r="F423" s="52">
        <v>827</v>
      </c>
      <c r="G423" s="52">
        <v>223290</v>
      </c>
      <c r="H423" s="52" t="s">
        <v>1025</v>
      </c>
      <c r="I423" s="52" t="s">
        <v>1026</v>
      </c>
      <c r="J423" s="53" t="s">
        <v>1031</v>
      </c>
    </row>
    <row r="424" spans="1:10" x14ac:dyDescent="0.25">
      <c r="A424" s="52" t="s">
        <v>432</v>
      </c>
      <c r="B424" s="53">
        <v>45842</v>
      </c>
      <c r="C424" s="52" t="s">
        <v>1010</v>
      </c>
      <c r="D424" s="52" t="s">
        <v>1021</v>
      </c>
      <c r="E424" s="52">
        <v>457</v>
      </c>
      <c r="F424" s="52">
        <v>100</v>
      </c>
      <c r="G424" s="52">
        <v>45700</v>
      </c>
      <c r="H424" s="52" t="s">
        <v>1030</v>
      </c>
      <c r="I424" s="52" t="s">
        <v>1026</v>
      </c>
      <c r="J424" s="53" t="s">
        <v>1031</v>
      </c>
    </row>
    <row r="425" spans="1:10" x14ac:dyDescent="0.25">
      <c r="A425" s="52" t="s">
        <v>433</v>
      </c>
      <c r="B425" s="53">
        <v>46039</v>
      </c>
      <c r="C425" s="52" t="s">
        <v>1014</v>
      </c>
      <c r="D425" s="52" t="s">
        <v>1024</v>
      </c>
      <c r="E425" s="52">
        <v>245</v>
      </c>
      <c r="F425" s="52">
        <v>509</v>
      </c>
      <c r="G425" s="52">
        <v>124705</v>
      </c>
      <c r="H425" s="52" t="s">
        <v>1025</v>
      </c>
      <c r="I425" s="52" t="s">
        <v>1029</v>
      </c>
      <c r="J425" s="53" t="s">
        <v>1031</v>
      </c>
    </row>
    <row r="426" spans="1:10" x14ac:dyDescent="0.25">
      <c r="A426" s="52" t="s">
        <v>434</v>
      </c>
      <c r="B426" s="53">
        <v>45829</v>
      </c>
      <c r="C426" s="52" t="s">
        <v>1013</v>
      </c>
      <c r="D426" s="52" t="s">
        <v>1022</v>
      </c>
      <c r="E426" s="52">
        <v>240</v>
      </c>
      <c r="F426" s="52">
        <v>753</v>
      </c>
      <c r="G426" s="52">
        <v>180720</v>
      </c>
      <c r="H426" s="52" t="s">
        <v>1025</v>
      </c>
      <c r="I426" s="52" t="s">
        <v>1026</v>
      </c>
      <c r="J426" s="53" t="s">
        <v>1031</v>
      </c>
    </row>
    <row r="427" spans="1:10" x14ac:dyDescent="0.25">
      <c r="A427" s="52" t="s">
        <v>435</v>
      </c>
      <c r="B427" s="53">
        <v>45752</v>
      </c>
      <c r="C427" s="52" t="s">
        <v>1014</v>
      </c>
      <c r="D427" s="52" t="s">
        <v>1023</v>
      </c>
      <c r="E427" s="52">
        <v>371</v>
      </c>
      <c r="F427" s="52">
        <v>798</v>
      </c>
      <c r="G427" s="52">
        <v>296058</v>
      </c>
      <c r="H427" s="52" t="s">
        <v>1025</v>
      </c>
      <c r="I427" s="52" t="s">
        <v>1029</v>
      </c>
      <c r="J427" s="53" t="s">
        <v>1031</v>
      </c>
    </row>
    <row r="428" spans="1:10" x14ac:dyDescent="0.25">
      <c r="A428" s="52" t="s">
        <v>436</v>
      </c>
      <c r="B428" s="53">
        <v>45708</v>
      </c>
      <c r="C428" s="52" t="s">
        <v>1012</v>
      </c>
      <c r="D428" s="52" t="s">
        <v>1015</v>
      </c>
      <c r="E428" s="52">
        <v>93</v>
      </c>
      <c r="F428" s="52">
        <v>849</v>
      </c>
      <c r="G428" s="52">
        <v>78957</v>
      </c>
      <c r="H428" s="52" t="s">
        <v>1027</v>
      </c>
      <c r="I428" s="52" t="s">
        <v>1029</v>
      </c>
      <c r="J428" s="53" t="s">
        <v>1031</v>
      </c>
    </row>
    <row r="429" spans="1:10" x14ac:dyDescent="0.25">
      <c r="A429" s="52" t="s">
        <v>437</v>
      </c>
      <c r="B429" s="53">
        <v>45778</v>
      </c>
      <c r="C429" s="52" t="s">
        <v>1013</v>
      </c>
      <c r="D429" s="52" t="s">
        <v>1022</v>
      </c>
      <c r="E429" s="52">
        <v>282</v>
      </c>
      <c r="F429" s="52">
        <v>756</v>
      </c>
      <c r="G429" s="52">
        <v>213192</v>
      </c>
      <c r="H429" s="52" t="s">
        <v>1025</v>
      </c>
      <c r="I429" s="52" t="s">
        <v>1026</v>
      </c>
      <c r="J429" s="53" t="s">
        <v>1031</v>
      </c>
    </row>
    <row r="430" spans="1:10" x14ac:dyDescent="0.25">
      <c r="A430" s="52" t="s">
        <v>438</v>
      </c>
      <c r="B430" s="53">
        <v>45822</v>
      </c>
      <c r="C430" s="52" t="s">
        <v>1011</v>
      </c>
      <c r="D430" s="52" t="s">
        <v>1018</v>
      </c>
      <c r="E430" s="52">
        <v>117</v>
      </c>
      <c r="F430" s="52">
        <v>762</v>
      </c>
      <c r="G430" s="52">
        <v>89154</v>
      </c>
      <c r="H430" s="52" t="s">
        <v>1030</v>
      </c>
      <c r="I430" s="52" t="s">
        <v>1026</v>
      </c>
      <c r="J430" s="53" t="s">
        <v>1031</v>
      </c>
    </row>
    <row r="431" spans="1:10" x14ac:dyDescent="0.25">
      <c r="A431" s="52" t="s">
        <v>439</v>
      </c>
      <c r="B431" s="53">
        <v>45735</v>
      </c>
      <c r="C431" s="52" t="s">
        <v>1012</v>
      </c>
      <c r="D431" s="52" t="s">
        <v>1022</v>
      </c>
      <c r="E431" s="52">
        <v>311</v>
      </c>
      <c r="F431" s="52">
        <v>1986</v>
      </c>
      <c r="G431" s="52">
        <v>617646</v>
      </c>
      <c r="H431" s="52" t="s">
        <v>1030</v>
      </c>
      <c r="I431" s="52" t="s">
        <v>1026</v>
      </c>
      <c r="J431" s="53" t="s">
        <v>1031</v>
      </c>
    </row>
    <row r="432" spans="1:10" x14ac:dyDescent="0.25">
      <c r="A432" s="52" t="s">
        <v>440</v>
      </c>
      <c r="B432" s="53">
        <v>46008</v>
      </c>
      <c r="C432" s="52" t="s">
        <v>1012</v>
      </c>
      <c r="D432" s="52" t="s">
        <v>1016</v>
      </c>
      <c r="E432" s="52">
        <v>385</v>
      </c>
      <c r="F432" s="52">
        <v>99</v>
      </c>
      <c r="G432" s="52">
        <v>38115</v>
      </c>
      <c r="H432" s="52" t="s">
        <v>1030</v>
      </c>
      <c r="I432" s="52" t="s">
        <v>1028</v>
      </c>
      <c r="J432" s="53">
        <v>46022</v>
      </c>
    </row>
    <row r="433" spans="1:10" x14ac:dyDescent="0.25">
      <c r="A433" s="52" t="s">
        <v>441</v>
      </c>
      <c r="B433" s="53">
        <v>45706</v>
      </c>
      <c r="C433" s="52" t="s">
        <v>1010</v>
      </c>
      <c r="D433" s="52" t="s">
        <v>1016</v>
      </c>
      <c r="E433" s="52">
        <v>54</v>
      </c>
      <c r="F433" s="52">
        <v>1005</v>
      </c>
      <c r="G433" s="52">
        <v>54270</v>
      </c>
      <c r="H433" s="52" t="s">
        <v>1030</v>
      </c>
      <c r="I433" s="52" t="s">
        <v>1028</v>
      </c>
      <c r="J433" s="53">
        <v>45721</v>
      </c>
    </row>
    <row r="434" spans="1:10" x14ac:dyDescent="0.25">
      <c r="A434" s="52" t="s">
        <v>442</v>
      </c>
      <c r="B434" s="53">
        <v>45838</v>
      </c>
      <c r="C434" s="52" t="s">
        <v>1011</v>
      </c>
      <c r="D434" s="52" t="s">
        <v>1023</v>
      </c>
      <c r="E434" s="52">
        <v>247</v>
      </c>
      <c r="F434" s="52">
        <v>295</v>
      </c>
      <c r="G434" s="52">
        <v>72865</v>
      </c>
      <c r="H434" s="52" t="s">
        <v>1027</v>
      </c>
      <c r="I434" s="52" t="s">
        <v>1028</v>
      </c>
      <c r="J434" s="53">
        <v>45849</v>
      </c>
    </row>
    <row r="435" spans="1:10" x14ac:dyDescent="0.25">
      <c r="A435" s="52" t="s">
        <v>443</v>
      </c>
      <c r="B435" s="53">
        <v>45936</v>
      </c>
      <c r="C435" s="52" t="s">
        <v>1013</v>
      </c>
      <c r="D435" s="52" t="s">
        <v>1019</v>
      </c>
      <c r="E435" s="52">
        <v>217</v>
      </c>
      <c r="F435" s="52">
        <v>775</v>
      </c>
      <c r="G435" s="52">
        <v>168175</v>
      </c>
      <c r="H435" s="52" t="s">
        <v>1025</v>
      </c>
      <c r="I435" s="52" t="s">
        <v>1029</v>
      </c>
      <c r="J435" s="53" t="s">
        <v>1031</v>
      </c>
    </row>
    <row r="436" spans="1:10" x14ac:dyDescent="0.25">
      <c r="A436" s="52" t="s">
        <v>444</v>
      </c>
      <c r="B436" s="53">
        <v>45800</v>
      </c>
      <c r="C436" s="52" t="s">
        <v>1011</v>
      </c>
      <c r="D436" s="52" t="s">
        <v>1020</v>
      </c>
      <c r="E436" s="52">
        <v>478</v>
      </c>
      <c r="F436" s="52">
        <v>646</v>
      </c>
      <c r="G436" s="52">
        <v>308788</v>
      </c>
      <c r="H436" s="52" t="s">
        <v>1025</v>
      </c>
      <c r="I436" s="52" t="s">
        <v>1028</v>
      </c>
      <c r="J436" s="53">
        <v>45813</v>
      </c>
    </row>
    <row r="437" spans="1:10" x14ac:dyDescent="0.25">
      <c r="A437" s="52" t="s">
        <v>445</v>
      </c>
      <c r="B437" s="53">
        <v>45785</v>
      </c>
      <c r="C437" s="52" t="s">
        <v>1014</v>
      </c>
      <c r="D437" s="52" t="s">
        <v>1017</v>
      </c>
      <c r="E437" s="52">
        <v>202</v>
      </c>
      <c r="F437" s="52">
        <v>882</v>
      </c>
      <c r="G437" s="52">
        <v>178164</v>
      </c>
      <c r="H437" s="52" t="s">
        <v>1025</v>
      </c>
      <c r="I437" s="52" t="s">
        <v>1026</v>
      </c>
      <c r="J437" s="53" t="s">
        <v>1031</v>
      </c>
    </row>
    <row r="438" spans="1:10" x14ac:dyDescent="0.25">
      <c r="A438" s="52" t="s">
        <v>446</v>
      </c>
      <c r="B438" s="53">
        <v>45986</v>
      </c>
      <c r="C438" s="52" t="s">
        <v>1014</v>
      </c>
      <c r="D438" s="52" t="s">
        <v>1022</v>
      </c>
      <c r="E438" s="52">
        <v>424</v>
      </c>
      <c r="F438" s="52">
        <v>451</v>
      </c>
      <c r="G438" s="52">
        <v>191224</v>
      </c>
      <c r="H438" s="52" t="s">
        <v>1025</v>
      </c>
      <c r="I438" s="52" t="s">
        <v>1029</v>
      </c>
      <c r="J438" s="53" t="s">
        <v>1031</v>
      </c>
    </row>
    <row r="439" spans="1:10" x14ac:dyDescent="0.25">
      <c r="A439" s="52" t="s">
        <v>447</v>
      </c>
      <c r="B439" s="53">
        <v>45931</v>
      </c>
      <c r="C439" s="52" t="s">
        <v>1013</v>
      </c>
      <c r="D439" s="52" t="s">
        <v>1016</v>
      </c>
      <c r="E439" s="52">
        <v>407</v>
      </c>
      <c r="F439" s="52">
        <v>1213</v>
      </c>
      <c r="G439" s="52">
        <v>493691</v>
      </c>
      <c r="H439" s="52" t="s">
        <v>1027</v>
      </c>
      <c r="I439" s="52" t="s">
        <v>1028</v>
      </c>
      <c r="J439" s="53">
        <v>45937</v>
      </c>
    </row>
    <row r="440" spans="1:10" x14ac:dyDescent="0.25">
      <c r="A440" s="52" t="s">
        <v>448</v>
      </c>
      <c r="B440" s="53">
        <v>45795</v>
      </c>
      <c r="C440" s="52" t="s">
        <v>1013</v>
      </c>
      <c r="D440" s="52" t="s">
        <v>1020</v>
      </c>
      <c r="E440" s="52">
        <v>182</v>
      </c>
      <c r="F440" s="52">
        <v>916</v>
      </c>
      <c r="G440" s="52">
        <v>166712</v>
      </c>
      <c r="H440" s="52" t="s">
        <v>1030</v>
      </c>
      <c r="I440" s="52" t="s">
        <v>1028</v>
      </c>
      <c r="J440" s="53">
        <v>45800</v>
      </c>
    </row>
    <row r="441" spans="1:10" x14ac:dyDescent="0.25">
      <c r="A441" s="52" t="s">
        <v>449</v>
      </c>
      <c r="B441" s="53">
        <v>45717</v>
      </c>
      <c r="C441" s="52" t="s">
        <v>1012</v>
      </c>
      <c r="D441" s="52" t="s">
        <v>1021</v>
      </c>
      <c r="E441" s="52">
        <v>6</v>
      </c>
      <c r="F441" s="52">
        <v>134</v>
      </c>
      <c r="G441" s="52">
        <v>804</v>
      </c>
      <c r="H441" s="52" t="s">
        <v>1027</v>
      </c>
      <c r="I441" s="52" t="s">
        <v>1029</v>
      </c>
      <c r="J441" s="53" t="s">
        <v>1031</v>
      </c>
    </row>
    <row r="442" spans="1:10" x14ac:dyDescent="0.25">
      <c r="A442" s="52" t="s">
        <v>450</v>
      </c>
      <c r="B442" s="53">
        <v>45719</v>
      </c>
      <c r="C442" s="52" t="s">
        <v>1013</v>
      </c>
      <c r="D442" s="52" t="s">
        <v>1024</v>
      </c>
      <c r="E442" s="52">
        <v>45</v>
      </c>
      <c r="F442" s="52">
        <v>1187</v>
      </c>
      <c r="G442" s="52">
        <v>53415</v>
      </c>
      <c r="H442" s="52" t="s">
        <v>1025</v>
      </c>
      <c r="I442" s="52" t="s">
        <v>1029</v>
      </c>
      <c r="J442" s="53" t="s">
        <v>1031</v>
      </c>
    </row>
    <row r="443" spans="1:10" x14ac:dyDescent="0.25">
      <c r="A443" s="52" t="s">
        <v>451</v>
      </c>
      <c r="B443" s="53">
        <v>45756</v>
      </c>
      <c r="C443" s="52" t="s">
        <v>1010</v>
      </c>
      <c r="D443" s="52" t="s">
        <v>1019</v>
      </c>
      <c r="E443" s="52">
        <v>232</v>
      </c>
      <c r="F443" s="52">
        <v>1761</v>
      </c>
      <c r="G443" s="52">
        <v>408552</v>
      </c>
      <c r="H443" s="52" t="s">
        <v>1025</v>
      </c>
      <c r="I443" s="52" t="s">
        <v>1026</v>
      </c>
      <c r="J443" s="53" t="s">
        <v>1031</v>
      </c>
    </row>
    <row r="444" spans="1:10" x14ac:dyDescent="0.25">
      <c r="A444" s="52" t="s">
        <v>452</v>
      </c>
      <c r="B444" s="53">
        <v>45848</v>
      </c>
      <c r="C444" s="52" t="s">
        <v>1014</v>
      </c>
      <c r="D444" s="52" t="s">
        <v>1018</v>
      </c>
      <c r="E444" s="52">
        <v>336</v>
      </c>
      <c r="F444" s="52">
        <v>1596</v>
      </c>
      <c r="G444" s="52">
        <v>536256</v>
      </c>
      <c r="H444" s="52" t="s">
        <v>1030</v>
      </c>
      <c r="I444" s="52" t="s">
        <v>1029</v>
      </c>
      <c r="J444" s="53" t="s">
        <v>1031</v>
      </c>
    </row>
    <row r="445" spans="1:10" x14ac:dyDescent="0.25">
      <c r="A445" s="52" t="s">
        <v>453</v>
      </c>
      <c r="B445" s="53">
        <v>45987</v>
      </c>
      <c r="C445" s="52" t="s">
        <v>1011</v>
      </c>
      <c r="D445" s="52" t="s">
        <v>1021</v>
      </c>
      <c r="E445" s="52">
        <v>127</v>
      </c>
      <c r="F445" s="52">
        <v>1704</v>
      </c>
      <c r="G445" s="52">
        <v>216408</v>
      </c>
      <c r="H445" s="52" t="s">
        <v>1027</v>
      </c>
      <c r="I445" s="52" t="s">
        <v>1026</v>
      </c>
      <c r="J445" s="53" t="s">
        <v>1031</v>
      </c>
    </row>
    <row r="446" spans="1:10" x14ac:dyDescent="0.25">
      <c r="A446" s="52" t="s">
        <v>454</v>
      </c>
      <c r="B446" s="53">
        <v>46025</v>
      </c>
      <c r="C446" s="52" t="s">
        <v>1012</v>
      </c>
      <c r="D446" s="52" t="s">
        <v>1020</v>
      </c>
      <c r="E446" s="52">
        <v>249</v>
      </c>
      <c r="F446" s="52">
        <v>325</v>
      </c>
      <c r="G446" s="52">
        <v>80925</v>
      </c>
      <c r="H446" s="52" t="s">
        <v>1030</v>
      </c>
      <c r="I446" s="52" t="s">
        <v>1028</v>
      </c>
      <c r="J446" s="53">
        <v>46032</v>
      </c>
    </row>
    <row r="447" spans="1:10" x14ac:dyDescent="0.25">
      <c r="A447" s="52" t="s">
        <v>455</v>
      </c>
      <c r="B447" s="53">
        <v>45796</v>
      </c>
      <c r="C447" s="52" t="s">
        <v>1014</v>
      </c>
      <c r="D447" s="52" t="s">
        <v>1016</v>
      </c>
      <c r="E447" s="52">
        <v>96</v>
      </c>
      <c r="F447" s="52">
        <v>562</v>
      </c>
      <c r="G447" s="52">
        <v>53952</v>
      </c>
      <c r="H447" s="52" t="s">
        <v>1027</v>
      </c>
      <c r="I447" s="52" t="s">
        <v>1026</v>
      </c>
      <c r="J447" s="53" t="s">
        <v>1031</v>
      </c>
    </row>
    <row r="448" spans="1:10" x14ac:dyDescent="0.25">
      <c r="A448" s="52" t="s">
        <v>456</v>
      </c>
      <c r="B448" s="53">
        <v>45750</v>
      </c>
      <c r="C448" s="52" t="s">
        <v>1013</v>
      </c>
      <c r="D448" s="52" t="s">
        <v>1023</v>
      </c>
      <c r="E448" s="52">
        <v>219</v>
      </c>
      <c r="F448" s="52">
        <v>376</v>
      </c>
      <c r="G448" s="52">
        <v>82344</v>
      </c>
      <c r="H448" s="52" t="s">
        <v>1027</v>
      </c>
      <c r="I448" s="52" t="s">
        <v>1026</v>
      </c>
      <c r="J448" s="53" t="s">
        <v>1031</v>
      </c>
    </row>
    <row r="449" spans="1:10" x14ac:dyDescent="0.25">
      <c r="A449" s="52" t="s">
        <v>457</v>
      </c>
      <c r="B449" s="53">
        <v>45699</v>
      </c>
      <c r="C449" s="52" t="s">
        <v>1012</v>
      </c>
      <c r="D449" s="52" t="s">
        <v>1017</v>
      </c>
      <c r="E449" s="52">
        <v>277</v>
      </c>
      <c r="F449" s="52">
        <v>1283</v>
      </c>
      <c r="G449" s="52">
        <v>355391</v>
      </c>
      <c r="H449" s="52" t="s">
        <v>1030</v>
      </c>
      <c r="I449" s="52" t="s">
        <v>1026</v>
      </c>
      <c r="J449" s="53" t="s">
        <v>1031</v>
      </c>
    </row>
    <row r="450" spans="1:10" x14ac:dyDescent="0.25">
      <c r="A450" s="52" t="s">
        <v>458</v>
      </c>
      <c r="B450" s="53">
        <v>45813</v>
      </c>
      <c r="C450" s="52" t="s">
        <v>1011</v>
      </c>
      <c r="D450" s="52" t="s">
        <v>1023</v>
      </c>
      <c r="E450" s="52">
        <v>318</v>
      </c>
      <c r="F450" s="52">
        <v>90</v>
      </c>
      <c r="G450" s="52">
        <v>28620</v>
      </c>
      <c r="H450" s="52" t="s">
        <v>1025</v>
      </c>
      <c r="I450" s="52" t="s">
        <v>1028</v>
      </c>
      <c r="J450" s="53">
        <v>45822</v>
      </c>
    </row>
    <row r="451" spans="1:10" x14ac:dyDescent="0.25">
      <c r="A451" s="52" t="s">
        <v>459</v>
      </c>
      <c r="B451" s="53">
        <v>45855</v>
      </c>
      <c r="C451" s="52" t="s">
        <v>1012</v>
      </c>
      <c r="D451" s="52" t="s">
        <v>1016</v>
      </c>
      <c r="E451" s="52">
        <v>310</v>
      </c>
      <c r="F451" s="52">
        <v>1929</v>
      </c>
      <c r="G451" s="52">
        <v>597990</v>
      </c>
      <c r="H451" s="52" t="s">
        <v>1025</v>
      </c>
      <c r="I451" s="52" t="s">
        <v>1029</v>
      </c>
      <c r="J451" s="53" t="s">
        <v>1031</v>
      </c>
    </row>
    <row r="452" spans="1:10" x14ac:dyDescent="0.25">
      <c r="A452" s="52" t="s">
        <v>460</v>
      </c>
      <c r="B452" s="53">
        <v>45927</v>
      </c>
      <c r="C452" s="52" t="s">
        <v>1012</v>
      </c>
      <c r="D452" s="52" t="s">
        <v>1016</v>
      </c>
      <c r="E452" s="52">
        <v>131</v>
      </c>
      <c r="F452" s="52">
        <v>42</v>
      </c>
      <c r="G452" s="52">
        <v>5502</v>
      </c>
      <c r="H452" s="52" t="s">
        <v>1030</v>
      </c>
      <c r="I452" s="52" t="s">
        <v>1028</v>
      </c>
      <c r="J452" s="53">
        <v>45942</v>
      </c>
    </row>
    <row r="453" spans="1:10" x14ac:dyDescent="0.25">
      <c r="A453" s="52" t="s">
        <v>461</v>
      </c>
      <c r="B453" s="53">
        <v>45865</v>
      </c>
      <c r="C453" s="52" t="s">
        <v>1010</v>
      </c>
      <c r="D453" s="52" t="s">
        <v>1023</v>
      </c>
      <c r="E453" s="52">
        <v>29</v>
      </c>
      <c r="F453" s="52">
        <v>897</v>
      </c>
      <c r="G453" s="52">
        <v>26013</v>
      </c>
      <c r="H453" s="52" t="s">
        <v>1027</v>
      </c>
      <c r="I453" s="52" t="s">
        <v>1026</v>
      </c>
      <c r="J453" s="53" t="s">
        <v>1031</v>
      </c>
    </row>
    <row r="454" spans="1:10" x14ac:dyDescent="0.25">
      <c r="A454" s="52" t="s">
        <v>462</v>
      </c>
      <c r="B454" s="53">
        <v>45915</v>
      </c>
      <c r="C454" s="52" t="s">
        <v>1011</v>
      </c>
      <c r="D454" s="52" t="s">
        <v>1015</v>
      </c>
      <c r="E454" s="52">
        <v>131</v>
      </c>
      <c r="F454" s="52">
        <v>1767</v>
      </c>
      <c r="G454" s="52">
        <v>231477</v>
      </c>
      <c r="H454" s="52" t="s">
        <v>1027</v>
      </c>
      <c r="I454" s="52" t="s">
        <v>1026</v>
      </c>
      <c r="J454" s="53" t="s">
        <v>1031</v>
      </c>
    </row>
    <row r="455" spans="1:10" x14ac:dyDescent="0.25">
      <c r="A455" s="52" t="s">
        <v>463</v>
      </c>
      <c r="B455" s="53">
        <v>46040</v>
      </c>
      <c r="C455" s="52" t="s">
        <v>1012</v>
      </c>
      <c r="D455" s="52" t="s">
        <v>1016</v>
      </c>
      <c r="E455" s="52">
        <v>301</v>
      </c>
      <c r="F455" s="52">
        <v>843</v>
      </c>
      <c r="G455" s="52">
        <v>253743</v>
      </c>
      <c r="H455" s="52" t="s">
        <v>1027</v>
      </c>
      <c r="I455" s="52" t="s">
        <v>1028</v>
      </c>
      <c r="J455" s="53">
        <v>46051</v>
      </c>
    </row>
    <row r="456" spans="1:10" x14ac:dyDescent="0.25">
      <c r="A456" s="52" t="s">
        <v>464</v>
      </c>
      <c r="B456" s="53">
        <v>45727</v>
      </c>
      <c r="C456" s="52" t="s">
        <v>1010</v>
      </c>
      <c r="D456" s="52" t="s">
        <v>1023</v>
      </c>
      <c r="E456" s="52">
        <v>460</v>
      </c>
      <c r="F456" s="52">
        <v>576</v>
      </c>
      <c r="G456" s="52">
        <v>264960</v>
      </c>
      <c r="H456" s="52" t="s">
        <v>1030</v>
      </c>
      <c r="I456" s="52" t="s">
        <v>1026</v>
      </c>
      <c r="J456" s="53" t="s">
        <v>1031</v>
      </c>
    </row>
    <row r="457" spans="1:10" x14ac:dyDescent="0.25">
      <c r="A457" s="52" t="s">
        <v>465</v>
      </c>
      <c r="B457" s="53">
        <v>45948</v>
      </c>
      <c r="C457" s="52" t="s">
        <v>1013</v>
      </c>
      <c r="D457" s="52" t="s">
        <v>1017</v>
      </c>
      <c r="E457" s="52">
        <v>299</v>
      </c>
      <c r="F457" s="52">
        <v>433</v>
      </c>
      <c r="G457" s="52">
        <v>129467</v>
      </c>
      <c r="H457" s="52" t="s">
        <v>1030</v>
      </c>
      <c r="I457" s="52" t="s">
        <v>1026</v>
      </c>
      <c r="J457" s="53" t="s">
        <v>1031</v>
      </c>
    </row>
    <row r="458" spans="1:10" x14ac:dyDescent="0.25">
      <c r="A458" s="52" t="s">
        <v>466</v>
      </c>
      <c r="B458" s="53">
        <v>45995</v>
      </c>
      <c r="C458" s="52" t="s">
        <v>1012</v>
      </c>
      <c r="D458" s="52" t="s">
        <v>1024</v>
      </c>
      <c r="E458" s="52">
        <v>309</v>
      </c>
      <c r="F458" s="52">
        <v>400</v>
      </c>
      <c r="G458" s="52">
        <v>123600</v>
      </c>
      <c r="H458" s="52" t="s">
        <v>1030</v>
      </c>
      <c r="I458" s="52" t="s">
        <v>1028</v>
      </c>
      <c r="J458" s="53">
        <v>46000</v>
      </c>
    </row>
    <row r="459" spans="1:10" x14ac:dyDescent="0.25">
      <c r="A459" s="52" t="s">
        <v>467</v>
      </c>
      <c r="B459" s="53">
        <v>46023</v>
      </c>
      <c r="C459" s="52" t="s">
        <v>1012</v>
      </c>
      <c r="D459" s="52" t="s">
        <v>1022</v>
      </c>
      <c r="E459" s="52">
        <v>400</v>
      </c>
      <c r="F459" s="52">
        <v>1454</v>
      </c>
      <c r="G459" s="52">
        <v>581600</v>
      </c>
      <c r="H459" s="52" t="s">
        <v>1027</v>
      </c>
      <c r="I459" s="52" t="s">
        <v>1029</v>
      </c>
      <c r="J459" s="53" t="s">
        <v>1031</v>
      </c>
    </row>
    <row r="460" spans="1:10" x14ac:dyDescent="0.25">
      <c r="A460" s="52" t="s">
        <v>468</v>
      </c>
      <c r="B460" s="53">
        <v>45710</v>
      </c>
      <c r="C460" s="52" t="s">
        <v>1012</v>
      </c>
      <c r="D460" s="52" t="s">
        <v>1018</v>
      </c>
      <c r="E460" s="52">
        <v>124</v>
      </c>
      <c r="F460" s="52">
        <v>90</v>
      </c>
      <c r="G460" s="52">
        <v>11160</v>
      </c>
      <c r="H460" s="52" t="s">
        <v>1027</v>
      </c>
      <c r="I460" s="52" t="s">
        <v>1028</v>
      </c>
      <c r="J460" s="53">
        <v>45718</v>
      </c>
    </row>
    <row r="461" spans="1:10" x14ac:dyDescent="0.25">
      <c r="A461" s="52" t="s">
        <v>469</v>
      </c>
      <c r="B461" s="53">
        <v>45888</v>
      </c>
      <c r="C461" s="52" t="s">
        <v>1010</v>
      </c>
      <c r="D461" s="52" t="s">
        <v>1023</v>
      </c>
      <c r="E461" s="52">
        <v>110</v>
      </c>
      <c r="F461" s="52">
        <v>1038</v>
      </c>
      <c r="G461" s="52">
        <v>114180</v>
      </c>
      <c r="H461" s="52" t="s">
        <v>1025</v>
      </c>
      <c r="I461" s="52" t="s">
        <v>1029</v>
      </c>
      <c r="J461" s="53" t="s">
        <v>1031</v>
      </c>
    </row>
    <row r="462" spans="1:10" x14ac:dyDescent="0.25">
      <c r="A462" s="52" t="s">
        <v>470</v>
      </c>
      <c r="B462" s="53">
        <v>45840</v>
      </c>
      <c r="C462" s="52" t="s">
        <v>1010</v>
      </c>
      <c r="D462" s="52" t="s">
        <v>1016</v>
      </c>
      <c r="E462" s="52">
        <v>324</v>
      </c>
      <c r="F462" s="52">
        <v>125</v>
      </c>
      <c r="G462" s="52">
        <v>40500</v>
      </c>
      <c r="H462" s="52" t="s">
        <v>1030</v>
      </c>
      <c r="I462" s="52" t="s">
        <v>1026</v>
      </c>
      <c r="J462" s="53" t="s">
        <v>1031</v>
      </c>
    </row>
    <row r="463" spans="1:10" x14ac:dyDescent="0.25">
      <c r="A463" s="52" t="s">
        <v>471</v>
      </c>
      <c r="B463" s="53">
        <v>45805</v>
      </c>
      <c r="C463" s="52" t="s">
        <v>1014</v>
      </c>
      <c r="D463" s="52" t="s">
        <v>1024</v>
      </c>
      <c r="E463" s="52">
        <v>332</v>
      </c>
      <c r="F463" s="52">
        <v>981</v>
      </c>
      <c r="G463" s="52">
        <v>325692</v>
      </c>
      <c r="H463" s="52" t="s">
        <v>1025</v>
      </c>
      <c r="I463" s="52" t="s">
        <v>1026</v>
      </c>
      <c r="J463" s="53" t="s">
        <v>1031</v>
      </c>
    </row>
    <row r="464" spans="1:10" x14ac:dyDescent="0.25">
      <c r="A464" s="52" t="s">
        <v>472</v>
      </c>
      <c r="B464" s="53">
        <v>45999</v>
      </c>
      <c r="C464" s="52" t="s">
        <v>1011</v>
      </c>
      <c r="D464" s="52" t="s">
        <v>1021</v>
      </c>
      <c r="E464" s="52">
        <v>74</v>
      </c>
      <c r="F464" s="52">
        <v>697</v>
      </c>
      <c r="G464" s="52">
        <v>51578</v>
      </c>
      <c r="H464" s="52" t="s">
        <v>1030</v>
      </c>
      <c r="I464" s="52" t="s">
        <v>1028</v>
      </c>
      <c r="J464" s="53">
        <v>46005</v>
      </c>
    </row>
    <row r="465" spans="1:10" x14ac:dyDescent="0.25">
      <c r="A465" s="52" t="s">
        <v>473</v>
      </c>
      <c r="B465" s="53">
        <v>45856</v>
      </c>
      <c r="C465" s="52" t="s">
        <v>1013</v>
      </c>
      <c r="D465" s="52" t="s">
        <v>1020</v>
      </c>
      <c r="E465" s="52">
        <v>219</v>
      </c>
      <c r="F465" s="52">
        <v>1979</v>
      </c>
      <c r="G465" s="52">
        <v>433401</v>
      </c>
      <c r="H465" s="52" t="s">
        <v>1025</v>
      </c>
      <c r="I465" s="52" t="s">
        <v>1028</v>
      </c>
      <c r="J465" s="53">
        <v>45870</v>
      </c>
    </row>
    <row r="466" spans="1:10" x14ac:dyDescent="0.25">
      <c r="A466" s="52" t="s">
        <v>474</v>
      </c>
      <c r="B466" s="53">
        <v>45853</v>
      </c>
      <c r="C466" s="52" t="s">
        <v>1012</v>
      </c>
      <c r="D466" s="52" t="s">
        <v>1020</v>
      </c>
      <c r="E466" s="52">
        <v>210</v>
      </c>
      <c r="F466" s="52">
        <v>1141</v>
      </c>
      <c r="G466" s="52">
        <v>239610</v>
      </c>
      <c r="H466" s="52" t="s">
        <v>1030</v>
      </c>
      <c r="I466" s="52" t="s">
        <v>1026</v>
      </c>
      <c r="J466" s="53" t="s">
        <v>1031</v>
      </c>
    </row>
    <row r="467" spans="1:10" x14ac:dyDescent="0.25">
      <c r="A467" s="52" t="s">
        <v>475</v>
      </c>
      <c r="B467" s="53">
        <v>45799</v>
      </c>
      <c r="C467" s="52" t="s">
        <v>1013</v>
      </c>
      <c r="D467" s="52" t="s">
        <v>1017</v>
      </c>
      <c r="E467" s="52">
        <v>20</v>
      </c>
      <c r="F467" s="52">
        <v>195</v>
      </c>
      <c r="G467" s="52">
        <v>3900</v>
      </c>
      <c r="H467" s="52" t="s">
        <v>1027</v>
      </c>
      <c r="I467" s="52" t="s">
        <v>1026</v>
      </c>
      <c r="J467" s="53" t="s">
        <v>1031</v>
      </c>
    </row>
    <row r="468" spans="1:10" x14ac:dyDescent="0.25">
      <c r="A468" s="52" t="s">
        <v>476</v>
      </c>
      <c r="B468" s="53">
        <v>45783</v>
      </c>
      <c r="C468" s="52" t="s">
        <v>1010</v>
      </c>
      <c r="D468" s="52" t="s">
        <v>1020</v>
      </c>
      <c r="E468" s="52">
        <v>311</v>
      </c>
      <c r="F468" s="52">
        <v>59</v>
      </c>
      <c r="G468" s="52">
        <v>18349</v>
      </c>
      <c r="H468" s="52" t="s">
        <v>1030</v>
      </c>
      <c r="I468" s="52" t="s">
        <v>1028</v>
      </c>
      <c r="J468" s="53">
        <v>45788</v>
      </c>
    </row>
    <row r="469" spans="1:10" x14ac:dyDescent="0.25">
      <c r="A469" s="52" t="s">
        <v>477</v>
      </c>
      <c r="B469" s="53">
        <v>46031</v>
      </c>
      <c r="C469" s="52" t="s">
        <v>1013</v>
      </c>
      <c r="D469" s="52" t="s">
        <v>1024</v>
      </c>
      <c r="E469" s="52">
        <v>254</v>
      </c>
      <c r="F469" s="52">
        <v>757</v>
      </c>
      <c r="G469" s="52">
        <v>192278</v>
      </c>
      <c r="H469" s="52" t="s">
        <v>1030</v>
      </c>
      <c r="I469" s="52" t="s">
        <v>1028</v>
      </c>
      <c r="J469" s="53">
        <v>46042</v>
      </c>
    </row>
    <row r="470" spans="1:10" x14ac:dyDescent="0.25">
      <c r="A470" s="52" t="s">
        <v>478</v>
      </c>
      <c r="B470" s="53">
        <v>45887</v>
      </c>
      <c r="C470" s="52" t="s">
        <v>1014</v>
      </c>
      <c r="D470" s="52" t="s">
        <v>1020</v>
      </c>
      <c r="E470" s="52">
        <v>426</v>
      </c>
      <c r="F470" s="52">
        <v>561</v>
      </c>
      <c r="G470" s="52">
        <v>238986</v>
      </c>
      <c r="H470" s="52" t="s">
        <v>1025</v>
      </c>
      <c r="I470" s="52" t="s">
        <v>1029</v>
      </c>
      <c r="J470" s="53" t="s">
        <v>1031</v>
      </c>
    </row>
    <row r="471" spans="1:10" x14ac:dyDescent="0.25">
      <c r="A471" s="52" t="s">
        <v>479</v>
      </c>
      <c r="B471" s="53">
        <v>45690</v>
      </c>
      <c r="C471" s="52" t="s">
        <v>1013</v>
      </c>
      <c r="D471" s="52" t="s">
        <v>1016</v>
      </c>
      <c r="E471" s="52">
        <v>179</v>
      </c>
      <c r="F471" s="52">
        <v>379</v>
      </c>
      <c r="G471" s="52">
        <v>67841</v>
      </c>
      <c r="H471" s="52" t="s">
        <v>1027</v>
      </c>
      <c r="I471" s="52" t="s">
        <v>1029</v>
      </c>
      <c r="J471" s="53" t="s">
        <v>1031</v>
      </c>
    </row>
    <row r="472" spans="1:10" x14ac:dyDescent="0.25">
      <c r="A472" s="52" t="s">
        <v>480</v>
      </c>
      <c r="B472" s="53">
        <v>45990</v>
      </c>
      <c r="C472" s="52" t="s">
        <v>1011</v>
      </c>
      <c r="D472" s="52" t="s">
        <v>1015</v>
      </c>
      <c r="E472" s="52">
        <v>2</v>
      </c>
      <c r="F472" s="52">
        <v>501</v>
      </c>
      <c r="G472" s="52">
        <v>1002</v>
      </c>
      <c r="H472" s="52" t="s">
        <v>1030</v>
      </c>
      <c r="I472" s="52" t="s">
        <v>1028</v>
      </c>
      <c r="J472" s="53">
        <v>46002</v>
      </c>
    </row>
    <row r="473" spans="1:10" x14ac:dyDescent="0.25">
      <c r="A473" s="52" t="s">
        <v>481</v>
      </c>
      <c r="B473" s="53">
        <v>45930</v>
      </c>
      <c r="C473" s="52" t="s">
        <v>1010</v>
      </c>
      <c r="D473" s="52" t="s">
        <v>1019</v>
      </c>
      <c r="E473" s="52">
        <v>417</v>
      </c>
      <c r="F473" s="52">
        <v>1163</v>
      </c>
      <c r="G473" s="52">
        <v>484971</v>
      </c>
      <c r="H473" s="52" t="s">
        <v>1027</v>
      </c>
      <c r="I473" s="52" t="s">
        <v>1026</v>
      </c>
      <c r="J473" s="53" t="s">
        <v>1031</v>
      </c>
    </row>
    <row r="474" spans="1:10" x14ac:dyDescent="0.25">
      <c r="A474" s="52" t="s">
        <v>482</v>
      </c>
      <c r="B474" s="53">
        <v>45862</v>
      </c>
      <c r="C474" s="52" t="s">
        <v>1010</v>
      </c>
      <c r="D474" s="52" t="s">
        <v>1017</v>
      </c>
      <c r="E474" s="52">
        <v>140</v>
      </c>
      <c r="F474" s="52">
        <v>150</v>
      </c>
      <c r="G474" s="52">
        <v>21000</v>
      </c>
      <c r="H474" s="52" t="s">
        <v>1030</v>
      </c>
      <c r="I474" s="52" t="s">
        <v>1028</v>
      </c>
      <c r="J474" s="53">
        <v>45867</v>
      </c>
    </row>
    <row r="475" spans="1:10" x14ac:dyDescent="0.25">
      <c r="A475" s="52" t="s">
        <v>483</v>
      </c>
      <c r="B475" s="53">
        <v>46039</v>
      </c>
      <c r="C475" s="52" t="s">
        <v>1011</v>
      </c>
      <c r="D475" s="52" t="s">
        <v>1020</v>
      </c>
      <c r="E475" s="52">
        <v>403</v>
      </c>
      <c r="F475" s="52">
        <v>1038</v>
      </c>
      <c r="G475" s="52">
        <v>418314</v>
      </c>
      <c r="H475" s="52" t="s">
        <v>1027</v>
      </c>
      <c r="I475" s="52" t="s">
        <v>1029</v>
      </c>
      <c r="J475" s="53" t="s">
        <v>1031</v>
      </c>
    </row>
    <row r="476" spans="1:10" x14ac:dyDescent="0.25">
      <c r="A476" s="52" t="s">
        <v>484</v>
      </c>
      <c r="B476" s="53">
        <v>45741</v>
      </c>
      <c r="C476" s="52" t="s">
        <v>1011</v>
      </c>
      <c r="D476" s="52" t="s">
        <v>1023</v>
      </c>
      <c r="E476" s="52">
        <v>459</v>
      </c>
      <c r="F476" s="52">
        <v>1581</v>
      </c>
      <c r="G476" s="52">
        <v>725679</v>
      </c>
      <c r="H476" s="52" t="s">
        <v>1025</v>
      </c>
      <c r="I476" s="52" t="s">
        <v>1028</v>
      </c>
      <c r="J476" s="53">
        <v>45747</v>
      </c>
    </row>
    <row r="477" spans="1:10" x14ac:dyDescent="0.25">
      <c r="A477" s="52" t="s">
        <v>485</v>
      </c>
      <c r="B477" s="53">
        <v>45687</v>
      </c>
      <c r="C477" s="52" t="s">
        <v>1011</v>
      </c>
      <c r="D477" s="52" t="s">
        <v>1022</v>
      </c>
      <c r="E477" s="52">
        <v>161</v>
      </c>
      <c r="F477" s="52">
        <v>1612</v>
      </c>
      <c r="G477" s="52">
        <v>259532</v>
      </c>
      <c r="H477" s="52" t="s">
        <v>1030</v>
      </c>
      <c r="I477" s="52" t="s">
        <v>1028</v>
      </c>
      <c r="J477" s="53">
        <v>45702</v>
      </c>
    </row>
    <row r="478" spans="1:10" x14ac:dyDescent="0.25">
      <c r="A478" s="52" t="s">
        <v>486</v>
      </c>
      <c r="B478" s="53">
        <v>45766</v>
      </c>
      <c r="C478" s="52" t="s">
        <v>1013</v>
      </c>
      <c r="D478" s="52" t="s">
        <v>1021</v>
      </c>
      <c r="E478" s="52">
        <v>11</v>
      </c>
      <c r="F478" s="52">
        <v>1409</v>
      </c>
      <c r="G478" s="52">
        <v>15499</v>
      </c>
      <c r="H478" s="52" t="s">
        <v>1025</v>
      </c>
      <c r="I478" s="52" t="s">
        <v>1029</v>
      </c>
      <c r="J478" s="53" t="s">
        <v>1031</v>
      </c>
    </row>
    <row r="479" spans="1:10" x14ac:dyDescent="0.25">
      <c r="A479" s="52" t="s">
        <v>487</v>
      </c>
      <c r="B479" s="53">
        <v>45913</v>
      </c>
      <c r="C479" s="52" t="s">
        <v>1013</v>
      </c>
      <c r="D479" s="52" t="s">
        <v>1020</v>
      </c>
      <c r="E479" s="52">
        <v>54</v>
      </c>
      <c r="F479" s="52">
        <v>1557</v>
      </c>
      <c r="G479" s="52">
        <v>84078</v>
      </c>
      <c r="H479" s="52" t="s">
        <v>1025</v>
      </c>
      <c r="I479" s="52" t="s">
        <v>1028</v>
      </c>
      <c r="J479" s="53">
        <v>45922</v>
      </c>
    </row>
    <row r="480" spans="1:10" x14ac:dyDescent="0.25">
      <c r="A480" s="52" t="s">
        <v>488</v>
      </c>
      <c r="B480" s="53">
        <v>45854</v>
      </c>
      <c r="C480" s="52" t="s">
        <v>1012</v>
      </c>
      <c r="D480" s="52" t="s">
        <v>1022</v>
      </c>
      <c r="E480" s="52">
        <v>207</v>
      </c>
      <c r="F480" s="52">
        <v>1544</v>
      </c>
      <c r="G480" s="52">
        <v>319608</v>
      </c>
      <c r="H480" s="52" t="s">
        <v>1025</v>
      </c>
      <c r="I480" s="52" t="s">
        <v>1026</v>
      </c>
      <c r="J480" s="53" t="s">
        <v>1031</v>
      </c>
    </row>
    <row r="481" spans="1:10" x14ac:dyDescent="0.25">
      <c r="A481" s="52" t="s">
        <v>489</v>
      </c>
      <c r="B481" s="53">
        <v>45699</v>
      </c>
      <c r="C481" s="52" t="s">
        <v>1013</v>
      </c>
      <c r="D481" s="52" t="s">
        <v>1015</v>
      </c>
      <c r="E481" s="52">
        <v>386</v>
      </c>
      <c r="F481" s="52">
        <v>1470</v>
      </c>
      <c r="G481" s="52">
        <v>567420</v>
      </c>
      <c r="H481" s="52" t="s">
        <v>1025</v>
      </c>
      <c r="I481" s="52" t="s">
        <v>1028</v>
      </c>
      <c r="J481" s="53">
        <v>45714</v>
      </c>
    </row>
    <row r="482" spans="1:10" x14ac:dyDescent="0.25">
      <c r="A482" s="52" t="s">
        <v>490</v>
      </c>
      <c r="B482" s="53">
        <v>45882</v>
      </c>
      <c r="C482" s="52" t="s">
        <v>1011</v>
      </c>
      <c r="D482" s="52" t="s">
        <v>1019</v>
      </c>
      <c r="E482" s="52">
        <v>80</v>
      </c>
      <c r="F482" s="52">
        <v>963</v>
      </c>
      <c r="G482" s="52">
        <v>77040</v>
      </c>
      <c r="H482" s="52" t="s">
        <v>1030</v>
      </c>
      <c r="I482" s="52" t="s">
        <v>1026</v>
      </c>
      <c r="J482" s="53" t="s">
        <v>1031</v>
      </c>
    </row>
    <row r="483" spans="1:10" x14ac:dyDescent="0.25">
      <c r="A483" s="52" t="s">
        <v>491</v>
      </c>
      <c r="B483" s="53">
        <v>46018</v>
      </c>
      <c r="C483" s="52" t="s">
        <v>1011</v>
      </c>
      <c r="D483" s="52" t="s">
        <v>1020</v>
      </c>
      <c r="E483" s="52">
        <v>4</v>
      </c>
      <c r="F483" s="52">
        <v>481</v>
      </c>
      <c r="G483" s="52">
        <v>1924</v>
      </c>
      <c r="H483" s="52" t="s">
        <v>1025</v>
      </c>
      <c r="I483" s="52" t="s">
        <v>1029</v>
      </c>
      <c r="J483" s="53" t="s">
        <v>1031</v>
      </c>
    </row>
    <row r="484" spans="1:10" x14ac:dyDescent="0.25">
      <c r="A484" s="52" t="s">
        <v>492</v>
      </c>
      <c r="B484" s="53">
        <v>45673</v>
      </c>
      <c r="C484" s="52" t="s">
        <v>1014</v>
      </c>
      <c r="D484" s="52" t="s">
        <v>1020</v>
      </c>
      <c r="E484" s="52">
        <v>96</v>
      </c>
      <c r="F484" s="52">
        <v>218</v>
      </c>
      <c r="G484" s="52">
        <v>20928</v>
      </c>
      <c r="H484" s="52" t="s">
        <v>1027</v>
      </c>
      <c r="I484" s="52" t="s">
        <v>1028</v>
      </c>
      <c r="J484" s="53">
        <v>45686</v>
      </c>
    </row>
    <row r="485" spans="1:10" x14ac:dyDescent="0.25">
      <c r="A485" s="52" t="s">
        <v>493</v>
      </c>
      <c r="B485" s="53">
        <v>45951</v>
      </c>
      <c r="C485" s="52" t="s">
        <v>1011</v>
      </c>
      <c r="D485" s="52" t="s">
        <v>1023</v>
      </c>
      <c r="E485" s="52">
        <v>429</v>
      </c>
      <c r="F485" s="52">
        <v>1670</v>
      </c>
      <c r="G485" s="52">
        <v>716430</v>
      </c>
      <c r="H485" s="52" t="s">
        <v>1025</v>
      </c>
      <c r="I485" s="52" t="s">
        <v>1028</v>
      </c>
      <c r="J485" s="53">
        <v>45962</v>
      </c>
    </row>
    <row r="486" spans="1:10" x14ac:dyDescent="0.25">
      <c r="A486" s="52" t="s">
        <v>494</v>
      </c>
      <c r="B486" s="53">
        <v>46035</v>
      </c>
      <c r="C486" s="52" t="s">
        <v>1012</v>
      </c>
      <c r="D486" s="52" t="s">
        <v>1024</v>
      </c>
      <c r="E486" s="52">
        <v>473</v>
      </c>
      <c r="F486" s="52">
        <v>622</v>
      </c>
      <c r="G486" s="52">
        <v>294206</v>
      </c>
      <c r="H486" s="52" t="s">
        <v>1025</v>
      </c>
      <c r="I486" s="52" t="s">
        <v>1028</v>
      </c>
      <c r="J486" s="53">
        <v>46043</v>
      </c>
    </row>
    <row r="487" spans="1:10" x14ac:dyDescent="0.25">
      <c r="A487" s="52" t="s">
        <v>495</v>
      </c>
      <c r="B487" s="53">
        <v>45983</v>
      </c>
      <c r="C487" s="52" t="s">
        <v>1010</v>
      </c>
      <c r="D487" s="52" t="s">
        <v>1023</v>
      </c>
      <c r="E487" s="52">
        <v>244</v>
      </c>
      <c r="F487" s="52">
        <v>316</v>
      </c>
      <c r="G487" s="52">
        <v>77104</v>
      </c>
      <c r="H487" s="52" t="s">
        <v>1030</v>
      </c>
      <c r="I487" s="52" t="s">
        <v>1029</v>
      </c>
      <c r="J487" s="53" t="s">
        <v>1031</v>
      </c>
    </row>
    <row r="488" spans="1:10" x14ac:dyDescent="0.25">
      <c r="A488" s="52" t="s">
        <v>496</v>
      </c>
      <c r="B488" s="53">
        <v>45750</v>
      </c>
      <c r="C488" s="52" t="s">
        <v>1010</v>
      </c>
      <c r="D488" s="52" t="s">
        <v>1017</v>
      </c>
      <c r="E488" s="52">
        <v>322</v>
      </c>
      <c r="F488" s="52">
        <v>1987</v>
      </c>
      <c r="G488" s="52">
        <v>639814</v>
      </c>
      <c r="H488" s="52" t="s">
        <v>1030</v>
      </c>
      <c r="I488" s="52" t="s">
        <v>1028</v>
      </c>
      <c r="J488" s="53">
        <v>45757</v>
      </c>
    </row>
    <row r="489" spans="1:10" x14ac:dyDescent="0.25">
      <c r="A489" s="52" t="s">
        <v>497</v>
      </c>
      <c r="B489" s="53">
        <v>46008</v>
      </c>
      <c r="C489" s="52" t="s">
        <v>1011</v>
      </c>
      <c r="D489" s="52" t="s">
        <v>1020</v>
      </c>
      <c r="E489" s="52">
        <v>476</v>
      </c>
      <c r="F489" s="52">
        <v>538</v>
      </c>
      <c r="G489" s="52">
        <v>256088</v>
      </c>
      <c r="H489" s="52" t="s">
        <v>1030</v>
      </c>
      <c r="I489" s="52" t="s">
        <v>1026</v>
      </c>
      <c r="J489" s="53" t="s">
        <v>1031</v>
      </c>
    </row>
    <row r="490" spans="1:10" x14ac:dyDescent="0.25">
      <c r="A490" s="52" t="s">
        <v>498</v>
      </c>
      <c r="B490" s="53">
        <v>45835</v>
      </c>
      <c r="C490" s="52" t="s">
        <v>1010</v>
      </c>
      <c r="D490" s="52" t="s">
        <v>1017</v>
      </c>
      <c r="E490" s="52">
        <v>20</v>
      </c>
      <c r="F490" s="52">
        <v>1948</v>
      </c>
      <c r="G490" s="52">
        <v>38960</v>
      </c>
      <c r="H490" s="52" t="s">
        <v>1027</v>
      </c>
      <c r="I490" s="52" t="s">
        <v>1028</v>
      </c>
      <c r="J490" s="53">
        <v>45847</v>
      </c>
    </row>
    <row r="491" spans="1:10" x14ac:dyDescent="0.25">
      <c r="A491" s="52" t="s">
        <v>499</v>
      </c>
      <c r="B491" s="53">
        <v>46022</v>
      </c>
      <c r="C491" s="52" t="s">
        <v>1011</v>
      </c>
      <c r="D491" s="52" t="s">
        <v>1022</v>
      </c>
      <c r="E491" s="52">
        <v>310</v>
      </c>
      <c r="F491" s="52">
        <v>1260</v>
      </c>
      <c r="G491" s="52">
        <v>390600</v>
      </c>
      <c r="H491" s="52" t="s">
        <v>1025</v>
      </c>
      <c r="I491" s="52" t="s">
        <v>1029</v>
      </c>
      <c r="J491" s="53" t="s">
        <v>1031</v>
      </c>
    </row>
    <row r="492" spans="1:10" x14ac:dyDescent="0.25">
      <c r="A492" s="52" t="s">
        <v>500</v>
      </c>
      <c r="B492" s="53">
        <v>45720</v>
      </c>
      <c r="C492" s="52" t="s">
        <v>1014</v>
      </c>
      <c r="D492" s="52" t="s">
        <v>1020</v>
      </c>
      <c r="E492" s="52">
        <v>496</v>
      </c>
      <c r="F492" s="52">
        <v>1272</v>
      </c>
      <c r="G492" s="52">
        <v>630912</v>
      </c>
      <c r="H492" s="52" t="s">
        <v>1025</v>
      </c>
      <c r="I492" s="52" t="s">
        <v>1026</v>
      </c>
      <c r="J492" s="53" t="s">
        <v>1031</v>
      </c>
    </row>
    <row r="493" spans="1:10" x14ac:dyDescent="0.25">
      <c r="A493" s="52" t="s">
        <v>501</v>
      </c>
      <c r="B493" s="53">
        <v>45672</v>
      </c>
      <c r="C493" s="52" t="s">
        <v>1013</v>
      </c>
      <c r="D493" s="52" t="s">
        <v>1015</v>
      </c>
      <c r="E493" s="52">
        <v>396</v>
      </c>
      <c r="F493" s="52">
        <v>41</v>
      </c>
      <c r="G493" s="52">
        <v>16236</v>
      </c>
      <c r="H493" s="52" t="s">
        <v>1025</v>
      </c>
      <c r="I493" s="52" t="s">
        <v>1029</v>
      </c>
      <c r="J493" s="53" t="s">
        <v>1031</v>
      </c>
    </row>
    <row r="494" spans="1:10" x14ac:dyDescent="0.25">
      <c r="A494" s="52" t="s">
        <v>502</v>
      </c>
      <c r="B494" s="53">
        <v>45925</v>
      </c>
      <c r="C494" s="52" t="s">
        <v>1013</v>
      </c>
      <c r="D494" s="52" t="s">
        <v>1023</v>
      </c>
      <c r="E494" s="52">
        <v>452</v>
      </c>
      <c r="F494" s="52">
        <v>326</v>
      </c>
      <c r="G494" s="52">
        <v>147352</v>
      </c>
      <c r="H494" s="52" t="s">
        <v>1027</v>
      </c>
      <c r="I494" s="52" t="s">
        <v>1026</v>
      </c>
      <c r="J494" s="53" t="s">
        <v>1031</v>
      </c>
    </row>
    <row r="495" spans="1:10" x14ac:dyDescent="0.25">
      <c r="A495" s="52" t="s">
        <v>503</v>
      </c>
      <c r="B495" s="53">
        <v>45971</v>
      </c>
      <c r="C495" s="52" t="s">
        <v>1010</v>
      </c>
      <c r="D495" s="52" t="s">
        <v>1023</v>
      </c>
      <c r="E495" s="52">
        <v>143</v>
      </c>
      <c r="F495" s="52">
        <v>316</v>
      </c>
      <c r="G495" s="52">
        <v>45188</v>
      </c>
      <c r="H495" s="52" t="s">
        <v>1030</v>
      </c>
      <c r="I495" s="52" t="s">
        <v>1028</v>
      </c>
      <c r="J495" s="53">
        <v>45985</v>
      </c>
    </row>
    <row r="496" spans="1:10" x14ac:dyDescent="0.25">
      <c r="A496" s="52" t="s">
        <v>504</v>
      </c>
      <c r="B496" s="53">
        <v>46047</v>
      </c>
      <c r="C496" s="52" t="s">
        <v>1010</v>
      </c>
      <c r="D496" s="52" t="s">
        <v>1019</v>
      </c>
      <c r="E496" s="52">
        <v>212</v>
      </c>
      <c r="F496" s="52">
        <v>1331</v>
      </c>
      <c r="G496" s="52">
        <v>282172</v>
      </c>
      <c r="H496" s="52" t="s">
        <v>1030</v>
      </c>
      <c r="I496" s="52" t="s">
        <v>1026</v>
      </c>
      <c r="J496" s="53" t="s">
        <v>1031</v>
      </c>
    </row>
    <row r="497" spans="1:10" x14ac:dyDescent="0.25">
      <c r="A497" s="52" t="s">
        <v>505</v>
      </c>
      <c r="B497" s="53">
        <v>45973</v>
      </c>
      <c r="C497" s="52" t="s">
        <v>1014</v>
      </c>
      <c r="D497" s="52" t="s">
        <v>1020</v>
      </c>
      <c r="E497" s="52">
        <v>285</v>
      </c>
      <c r="F497" s="52">
        <v>1240</v>
      </c>
      <c r="G497" s="52">
        <v>353400</v>
      </c>
      <c r="H497" s="52" t="s">
        <v>1030</v>
      </c>
      <c r="I497" s="52" t="s">
        <v>1028</v>
      </c>
      <c r="J497" s="53">
        <v>45978</v>
      </c>
    </row>
    <row r="498" spans="1:10" x14ac:dyDescent="0.25">
      <c r="A498" s="52" t="s">
        <v>506</v>
      </c>
      <c r="B498" s="53">
        <v>45765</v>
      </c>
      <c r="C498" s="52" t="s">
        <v>1013</v>
      </c>
      <c r="D498" s="52" t="s">
        <v>1022</v>
      </c>
      <c r="E498" s="52">
        <v>307</v>
      </c>
      <c r="F498" s="52">
        <v>1368</v>
      </c>
      <c r="G498" s="52">
        <v>419976</v>
      </c>
      <c r="H498" s="52" t="s">
        <v>1027</v>
      </c>
      <c r="I498" s="52" t="s">
        <v>1029</v>
      </c>
      <c r="J498" s="53" t="s">
        <v>1031</v>
      </c>
    </row>
    <row r="499" spans="1:10" x14ac:dyDescent="0.25">
      <c r="A499" s="52" t="s">
        <v>507</v>
      </c>
      <c r="B499" s="53">
        <v>45730</v>
      </c>
      <c r="C499" s="52" t="s">
        <v>1014</v>
      </c>
      <c r="D499" s="52" t="s">
        <v>1016</v>
      </c>
      <c r="E499" s="52">
        <v>419</v>
      </c>
      <c r="F499" s="52">
        <v>188</v>
      </c>
      <c r="G499" s="52">
        <v>78772</v>
      </c>
      <c r="H499" s="52" t="s">
        <v>1030</v>
      </c>
      <c r="I499" s="52" t="s">
        <v>1026</v>
      </c>
      <c r="J499" s="53" t="s">
        <v>1031</v>
      </c>
    </row>
    <row r="500" spans="1:10" x14ac:dyDescent="0.25">
      <c r="A500" s="52" t="s">
        <v>508</v>
      </c>
      <c r="B500" s="53">
        <v>45985</v>
      </c>
      <c r="C500" s="52" t="s">
        <v>1011</v>
      </c>
      <c r="D500" s="52" t="s">
        <v>1015</v>
      </c>
      <c r="E500" s="52">
        <v>105</v>
      </c>
      <c r="F500" s="52">
        <v>1594</v>
      </c>
      <c r="G500" s="52">
        <v>167370</v>
      </c>
      <c r="H500" s="52" t="s">
        <v>1027</v>
      </c>
      <c r="I500" s="52" t="s">
        <v>1028</v>
      </c>
      <c r="J500" s="53">
        <v>45996</v>
      </c>
    </row>
    <row r="501" spans="1:10" x14ac:dyDescent="0.25">
      <c r="A501" s="52" t="s">
        <v>509</v>
      </c>
      <c r="B501" s="53">
        <v>45769</v>
      </c>
      <c r="C501" s="52" t="s">
        <v>1010</v>
      </c>
      <c r="D501" s="52" t="s">
        <v>1018</v>
      </c>
      <c r="E501" s="52">
        <v>326</v>
      </c>
      <c r="F501" s="52">
        <v>668</v>
      </c>
      <c r="G501" s="52">
        <v>217768</v>
      </c>
      <c r="H501" s="52" t="s">
        <v>1025</v>
      </c>
      <c r="I501" s="52" t="s">
        <v>1028</v>
      </c>
      <c r="J501" s="53">
        <v>45774</v>
      </c>
    </row>
    <row r="502" spans="1:10" x14ac:dyDescent="0.25">
      <c r="A502" s="52" t="s">
        <v>510</v>
      </c>
      <c r="B502" s="53">
        <v>45876</v>
      </c>
      <c r="C502" s="52" t="s">
        <v>1014</v>
      </c>
      <c r="D502" s="52" t="s">
        <v>1018</v>
      </c>
      <c r="E502" s="52">
        <v>138</v>
      </c>
      <c r="F502" s="52">
        <v>356</v>
      </c>
      <c r="G502" s="52">
        <v>49128</v>
      </c>
      <c r="H502" s="52" t="s">
        <v>1027</v>
      </c>
      <c r="I502" s="52" t="s">
        <v>1026</v>
      </c>
      <c r="J502" s="53" t="s">
        <v>1031</v>
      </c>
    </row>
    <row r="503" spans="1:10" x14ac:dyDescent="0.25">
      <c r="A503" s="52" t="s">
        <v>511</v>
      </c>
      <c r="B503" s="53">
        <v>46026</v>
      </c>
      <c r="C503" s="52" t="s">
        <v>1010</v>
      </c>
      <c r="D503" s="52" t="s">
        <v>1024</v>
      </c>
      <c r="E503" s="52">
        <v>197</v>
      </c>
      <c r="F503" s="52">
        <v>58</v>
      </c>
      <c r="G503" s="52">
        <v>11426</v>
      </c>
      <c r="H503" s="52" t="s">
        <v>1030</v>
      </c>
      <c r="I503" s="52" t="s">
        <v>1029</v>
      </c>
      <c r="J503" s="53" t="s">
        <v>1031</v>
      </c>
    </row>
    <row r="504" spans="1:10" x14ac:dyDescent="0.25">
      <c r="A504" s="52" t="s">
        <v>512</v>
      </c>
      <c r="B504" s="53">
        <v>45659</v>
      </c>
      <c r="C504" s="52" t="s">
        <v>1011</v>
      </c>
      <c r="D504" s="52" t="s">
        <v>1018</v>
      </c>
      <c r="E504" s="52">
        <v>109</v>
      </c>
      <c r="F504" s="52">
        <v>882</v>
      </c>
      <c r="G504" s="52">
        <v>96138</v>
      </c>
      <c r="H504" s="52" t="s">
        <v>1027</v>
      </c>
      <c r="I504" s="52" t="s">
        <v>1026</v>
      </c>
      <c r="J504" s="53" t="s">
        <v>1031</v>
      </c>
    </row>
    <row r="505" spans="1:10" x14ac:dyDescent="0.25">
      <c r="A505" s="52" t="s">
        <v>513</v>
      </c>
      <c r="B505" s="53">
        <v>45779</v>
      </c>
      <c r="C505" s="52" t="s">
        <v>1010</v>
      </c>
      <c r="D505" s="52" t="s">
        <v>1020</v>
      </c>
      <c r="E505" s="52">
        <v>311</v>
      </c>
      <c r="F505" s="52">
        <v>1489</v>
      </c>
      <c r="G505" s="52">
        <v>463079</v>
      </c>
      <c r="H505" s="52" t="s">
        <v>1027</v>
      </c>
      <c r="I505" s="52" t="s">
        <v>1026</v>
      </c>
      <c r="J505" s="53" t="s">
        <v>1031</v>
      </c>
    </row>
    <row r="506" spans="1:10" x14ac:dyDescent="0.25">
      <c r="A506" s="52" t="s">
        <v>514</v>
      </c>
      <c r="B506" s="53">
        <v>45872</v>
      </c>
      <c r="C506" s="52" t="s">
        <v>1010</v>
      </c>
      <c r="D506" s="52" t="s">
        <v>1015</v>
      </c>
      <c r="E506" s="52">
        <v>311</v>
      </c>
      <c r="F506" s="52">
        <v>267</v>
      </c>
      <c r="G506" s="52">
        <v>83037</v>
      </c>
      <c r="H506" s="52" t="s">
        <v>1030</v>
      </c>
      <c r="I506" s="52" t="s">
        <v>1026</v>
      </c>
      <c r="J506" s="53" t="s">
        <v>1031</v>
      </c>
    </row>
    <row r="507" spans="1:10" x14ac:dyDescent="0.25">
      <c r="A507" s="52" t="s">
        <v>515</v>
      </c>
      <c r="B507" s="53">
        <v>45988</v>
      </c>
      <c r="C507" s="52" t="s">
        <v>1013</v>
      </c>
      <c r="D507" s="52" t="s">
        <v>1015</v>
      </c>
      <c r="E507" s="52">
        <v>195</v>
      </c>
      <c r="F507" s="52">
        <v>979</v>
      </c>
      <c r="G507" s="52">
        <v>190905</v>
      </c>
      <c r="H507" s="52" t="s">
        <v>1027</v>
      </c>
      <c r="I507" s="52" t="s">
        <v>1029</v>
      </c>
      <c r="J507" s="53" t="s">
        <v>1031</v>
      </c>
    </row>
    <row r="508" spans="1:10" x14ac:dyDescent="0.25">
      <c r="A508" s="52" t="s">
        <v>516</v>
      </c>
      <c r="B508" s="53">
        <v>45853</v>
      </c>
      <c r="C508" s="52" t="s">
        <v>1011</v>
      </c>
      <c r="D508" s="52" t="s">
        <v>1016</v>
      </c>
      <c r="E508" s="52">
        <v>370</v>
      </c>
      <c r="F508" s="52">
        <v>221</v>
      </c>
      <c r="G508" s="52">
        <v>81770</v>
      </c>
      <c r="H508" s="52" t="s">
        <v>1025</v>
      </c>
      <c r="I508" s="52" t="s">
        <v>1029</v>
      </c>
      <c r="J508" s="53" t="s">
        <v>1031</v>
      </c>
    </row>
    <row r="509" spans="1:10" x14ac:dyDescent="0.25">
      <c r="A509" s="52" t="s">
        <v>517</v>
      </c>
      <c r="B509" s="53">
        <v>45837</v>
      </c>
      <c r="C509" s="52" t="s">
        <v>1014</v>
      </c>
      <c r="D509" s="52" t="s">
        <v>1019</v>
      </c>
      <c r="E509" s="52">
        <v>216</v>
      </c>
      <c r="F509" s="52">
        <v>718</v>
      </c>
      <c r="G509" s="52">
        <v>155088</v>
      </c>
      <c r="H509" s="52" t="s">
        <v>1027</v>
      </c>
      <c r="I509" s="52" t="s">
        <v>1028</v>
      </c>
      <c r="J509" s="53">
        <v>45847</v>
      </c>
    </row>
    <row r="510" spans="1:10" x14ac:dyDescent="0.25">
      <c r="A510" s="52" t="s">
        <v>518</v>
      </c>
      <c r="B510" s="53">
        <v>45877</v>
      </c>
      <c r="C510" s="52" t="s">
        <v>1014</v>
      </c>
      <c r="D510" s="52" t="s">
        <v>1021</v>
      </c>
      <c r="E510" s="52">
        <v>199</v>
      </c>
      <c r="F510" s="52">
        <v>1027</v>
      </c>
      <c r="G510" s="52">
        <v>204373</v>
      </c>
      <c r="H510" s="52" t="s">
        <v>1025</v>
      </c>
      <c r="I510" s="52" t="s">
        <v>1029</v>
      </c>
      <c r="J510" s="53" t="s">
        <v>1031</v>
      </c>
    </row>
    <row r="511" spans="1:10" x14ac:dyDescent="0.25">
      <c r="A511" s="52" t="s">
        <v>519</v>
      </c>
      <c r="B511" s="53">
        <v>45766</v>
      </c>
      <c r="C511" s="52" t="s">
        <v>1013</v>
      </c>
      <c r="D511" s="52" t="s">
        <v>1015</v>
      </c>
      <c r="E511" s="52">
        <v>124</v>
      </c>
      <c r="F511" s="52">
        <v>884</v>
      </c>
      <c r="G511" s="52">
        <v>109616</v>
      </c>
      <c r="H511" s="52" t="s">
        <v>1025</v>
      </c>
      <c r="I511" s="52" t="s">
        <v>1026</v>
      </c>
      <c r="J511" s="53" t="s">
        <v>1031</v>
      </c>
    </row>
    <row r="512" spans="1:10" x14ac:dyDescent="0.25">
      <c r="A512" s="52" t="s">
        <v>520</v>
      </c>
      <c r="B512" s="53">
        <v>45893</v>
      </c>
      <c r="C512" s="52" t="s">
        <v>1010</v>
      </c>
      <c r="D512" s="52" t="s">
        <v>1024</v>
      </c>
      <c r="E512" s="52">
        <v>6</v>
      </c>
      <c r="F512" s="52">
        <v>434</v>
      </c>
      <c r="G512" s="52">
        <v>2604</v>
      </c>
      <c r="H512" s="52" t="s">
        <v>1025</v>
      </c>
      <c r="I512" s="52" t="s">
        <v>1026</v>
      </c>
      <c r="J512" s="53" t="s">
        <v>1031</v>
      </c>
    </row>
    <row r="513" spans="1:10" x14ac:dyDescent="0.25">
      <c r="A513" s="52" t="s">
        <v>521</v>
      </c>
      <c r="B513" s="53">
        <v>45730</v>
      </c>
      <c r="C513" s="52" t="s">
        <v>1012</v>
      </c>
      <c r="D513" s="52" t="s">
        <v>1019</v>
      </c>
      <c r="E513" s="52">
        <v>301</v>
      </c>
      <c r="F513" s="52">
        <v>504</v>
      </c>
      <c r="G513" s="52">
        <v>151704</v>
      </c>
      <c r="H513" s="52" t="s">
        <v>1025</v>
      </c>
      <c r="I513" s="52" t="s">
        <v>1026</v>
      </c>
      <c r="J513" s="53" t="s">
        <v>1031</v>
      </c>
    </row>
    <row r="514" spans="1:10" x14ac:dyDescent="0.25">
      <c r="A514" s="52" t="s">
        <v>522</v>
      </c>
      <c r="B514" s="53">
        <v>45868</v>
      </c>
      <c r="C514" s="52" t="s">
        <v>1010</v>
      </c>
      <c r="D514" s="52" t="s">
        <v>1016</v>
      </c>
      <c r="E514" s="52">
        <v>253</v>
      </c>
      <c r="F514" s="52">
        <v>1196</v>
      </c>
      <c r="G514" s="52">
        <v>302588</v>
      </c>
      <c r="H514" s="52" t="s">
        <v>1030</v>
      </c>
      <c r="I514" s="52" t="s">
        <v>1026</v>
      </c>
      <c r="J514" s="53" t="s">
        <v>1031</v>
      </c>
    </row>
    <row r="515" spans="1:10" x14ac:dyDescent="0.25">
      <c r="A515" s="52" t="s">
        <v>523</v>
      </c>
      <c r="B515" s="53">
        <v>45671</v>
      </c>
      <c r="C515" s="52" t="s">
        <v>1012</v>
      </c>
      <c r="D515" s="52" t="s">
        <v>1017</v>
      </c>
      <c r="E515" s="52">
        <v>223</v>
      </c>
      <c r="F515" s="52">
        <v>764</v>
      </c>
      <c r="G515" s="52">
        <v>170372</v>
      </c>
      <c r="H515" s="52" t="s">
        <v>1027</v>
      </c>
      <c r="I515" s="52" t="s">
        <v>1028</v>
      </c>
      <c r="J515" s="53">
        <v>45677</v>
      </c>
    </row>
    <row r="516" spans="1:10" x14ac:dyDescent="0.25">
      <c r="A516" s="52" t="s">
        <v>524</v>
      </c>
      <c r="B516" s="53">
        <v>45909</v>
      </c>
      <c r="C516" s="52" t="s">
        <v>1012</v>
      </c>
      <c r="D516" s="52" t="s">
        <v>1015</v>
      </c>
      <c r="E516" s="52">
        <v>450</v>
      </c>
      <c r="F516" s="52">
        <v>1621</v>
      </c>
      <c r="G516" s="52">
        <v>729450</v>
      </c>
      <c r="H516" s="52" t="s">
        <v>1025</v>
      </c>
      <c r="I516" s="52" t="s">
        <v>1026</v>
      </c>
      <c r="J516" s="53" t="s">
        <v>1031</v>
      </c>
    </row>
    <row r="517" spans="1:10" x14ac:dyDescent="0.25">
      <c r="A517" s="52" t="s">
        <v>525</v>
      </c>
      <c r="B517" s="53">
        <v>45925</v>
      </c>
      <c r="C517" s="52" t="s">
        <v>1013</v>
      </c>
      <c r="D517" s="52" t="s">
        <v>1015</v>
      </c>
      <c r="E517" s="52">
        <v>415</v>
      </c>
      <c r="F517" s="52">
        <v>947</v>
      </c>
      <c r="G517" s="52">
        <v>393005</v>
      </c>
      <c r="H517" s="52" t="s">
        <v>1027</v>
      </c>
      <c r="I517" s="52" t="s">
        <v>1026</v>
      </c>
      <c r="J517" s="53" t="s">
        <v>1031</v>
      </c>
    </row>
    <row r="518" spans="1:10" x14ac:dyDescent="0.25">
      <c r="A518" s="52" t="s">
        <v>526</v>
      </c>
      <c r="B518" s="53">
        <v>45834</v>
      </c>
      <c r="C518" s="52" t="s">
        <v>1012</v>
      </c>
      <c r="D518" s="52" t="s">
        <v>1023</v>
      </c>
      <c r="E518" s="52">
        <v>55</v>
      </c>
      <c r="F518" s="52">
        <v>1203</v>
      </c>
      <c r="G518" s="52">
        <v>66165</v>
      </c>
      <c r="H518" s="52" t="s">
        <v>1027</v>
      </c>
      <c r="I518" s="52" t="s">
        <v>1029</v>
      </c>
      <c r="J518" s="53" t="s">
        <v>1031</v>
      </c>
    </row>
    <row r="519" spans="1:10" x14ac:dyDescent="0.25">
      <c r="A519" s="52" t="s">
        <v>527</v>
      </c>
      <c r="B519" s="53">
        <v>45994</v>
      </c>
      <c r="C519" s="52" t="s">
        <v>1014</v>
      </c>
      <c r="D519" s="52" t="s">
        <v>1016</v>
      </c>
      <c r="E519" s="52">
        <v>449</v>
      </c>
      <c r="F519" s="52">
        <v>308</v>
      </c>
      <c r="G519" s="52">
        <v>138292</v>
      </c>
      <c r="H519" s="52" t="s">
        <v>1025</v>
      </c>
      <c r="I519" s="52" t="s">
        <v>1028</v>
      </c>
      <c r="J519" s="53">
        <v>45999</v>
      </c>
    </row>
    <row r="520" spans="1:10" x14ac:dyDescent="0.25">
      <c r="A520" s="52" t="s">
        <v>528</v>
      </c>
      <c r="B520" s="53">
        <v>45702</v>
      </c>
      <c r="C520" s="52" t="s">
        <v>1014</v>
      </c>
      <c r="D520" s="52" t="s">
        <v>1020</v>
      </c>
      <c r="E520" s="52">
        <v>107</v>
      </c>
      <c r="F520" s="52">
        <v>122</v>
      </c>
      <c r="G520" s="52">
        <v>13054</v>
      </c>
      <c r="H520" s="52" t="s">
        <v>1025</v>
      </c>
      <c r="I520" s="52" t="s">
        <v>1026</v>
      </c>
      <c r="J520" s="53" t="s">
        <v>1031</v>
      </c>
    </row>
    <row r="521" spans="1:10" x14ac:dyDescent="0.25">
      <c r="A521" s="52" t="s">
        <v>529</v>
      </c>
      <c r="B521" s="53">
        <v>45769</v>
      </c>
      <c r="C521" s="52" t="s">
        <v>1014</v>
      </c>
      <c r="D521" s="52" t="s">
        <v>1015</v>
      </c>
      <c r="E521" s="52">
        <v>154</v>
      </c>
      <c r="F521" s="52">
        <v>1045</v>
      </c>
      <c r="G521" s="52">
        <v>160930</v>
      </c>
      <c r="H521" s="52" t="s">
        <v>1030</v>
      </c>
      <c r="I521" s="52" t="s">
        <v>1029</v>
      </c>
      <c r="J521" s="53" t="s">
        <v>1031</v>
      </c>
    </row>
    <row r="522" spans="1:10" x14ac:dyDescent="0.25">
      <c r="A522" s="52" t="s">
        <v>530</v>
      </c>
      <c r="B522" s="53">
        <v>45773</v>
      </c>
      <c r="C522" s="52" t="s">
        <v>1011</v>
      </c>
      <c r="D522" s="52" t="s">
        <v>1015</v>
      </c>
      <c r="E522" s="52">
        <v>231</v>
      </c>
      <c r="F522" s="52">
        <v>836</v>
      </c>
      <c r="G522" s="52">
        <v>193116</v>
      </c>
      <c r="H522" s="52" t="s">
        <v>1025</v>
      </c>
      <c r="I522" s="52" t="s">
        <v>1028</v>
      </c>
      <c r="J522" s="53">
        <v>45788</v>
      </c>
    </row>
    <row r="523" spans="1:10" x14ac:dyDescent="0.25">
      <c r="A523" s="52" t="s">
        <v>531</v>
      </c>
      <c r="B523" s="53">
        <v>45882</v>
      </c>
      <c r="C523" s="52" t="s">
        <v>1014</v>
      </c>
      <c r="D523" s="52" t="s">
        <v>1015</v>
      </c>
      <c r="E523" s="52">
        <v>279</v>
      </c>
      <c r="F523" s="52">
        <v>1863</v>
      </c>
      <c r="G523" s="52">
        <v>519777</v>
      </c>
      <c r="H523" s="52" t="s">
        <v>1030</v>
      </c>
      <c r="I523" s="52" t="s">
        <v>1029</v>
      </c>
      <c r="J523" s="53" t="s">
        <v>1031</v>
      </c>
    </row>
    <row r="524" spans="1:10" x14ac:dyDescent="0.25">
      <c r="A524" s="52" t="s">
        <v>532</v>
      </c>
      <c r="B524" s="53">
        <v>45980</v>
      </c>
      <c r="C524" s="52" t="s">
        <v>1010</v>
      </c>
      <c r="D524" s="52" t="s">
        <v>1019</v>
      </c>
      <c r="E524" s="52">
        <v>309</v>
      </c>
      <c r="F524" s="52">
        <v>474</v>
      </c>
      <c r="G524" s="52">
        <v>146466</v>
      </c>
      <c r="H524" s="52" t="s">
        <v>1025</v>
      </c>
      <c r="I524" s="52" t="s">
        <v>1026</v>
      </c>
      <c r="J524" s="53" t="s">
        <v>1031</v>
      </c>
    </row>
    <row r="525" spans="1:10" x14ac:dyDescent="0.25">
      <c r="A525" s="52" t="s">
        <v>533</v>
      </c>
      <c r="B525" s="53">
        <v>45676</v>
      </c>
      <c r="C525" s="52" t="s">
        <v>1010</v>
      </c>
      <c r="D525" s="52" t="s">
        <v>1021</v>
      </c>
      <c r="E525" s="52">
        <v>1</v>
      </c>
      <c r="F525" s="52">
        <v>436</v>
      </c>
      <c r="G525" s="52">
        <v>436</v>
      </c>
      <c r="H525" s="52" t="s">
        <v>1025</v>
      </c>
      <c r="I525" s="52" t="s">
        <v>1028</v>
      </c>
      <c r="J525" s="53">
        <v>45691</v>
      </c>
    </row>
    <row r="526" spans="1:10" x14ac:dyDescent="0.25">
      <c r="A526" s="52" t="s">
        <v>534</v>
      </c>
      <c r="B526" s="53">
        <v>45980</v>
      </c>
      <c r="C526" s="52" t="s">
        <v>1013</v>
      </c>
      <c r="D526" s="52" t="s">
        <v>1021</v>
      </c>
      <c r="E526" s="52">
        <v>187</v>
      </c>
      <c r="F526" s="52">
        <v>113</v>
      </c>
      <c r="G526" s="52">
        <v>21131</v>
      </c>
      <c r="H526" s="52" t="s">
        <v>1030</v>
      </c>
      <c r="I526" s="52" t="s">
        <v>1026</v>
      </c>
      <c r="J526" s="53" t="s">
        <v>1031</v>
      </c>
    </row>
    <row r="527" spans="1:10" x14ac:dyDescent="0.25">
      <c r="A527" s="52" t="s">
        <v>535</v>
      </c>
      <c r="B527" s="53">
        <v>45976</v>
      </c>
      <c r="C527" s="52" t="s">
        <v>1010</v>
      </c>
      <c r="D527" s="52" t="s">
        <v>1017</v>
      </c>
      <c r="E527" s="52">
        <v>415</v>
      </c>
      <c r="F527" s="52">
        <v>1544</v>
      </c>
      <c r="G527" s="52">
        <v>640760</v>
      </c>
      <c r="H527" s="52" t="s">
        <v>1027</v>
      </c>
      <c r="I527" s="52" t="s">
        <v>1029</v>
      </c>
      <c r="J527" s="53" t="s">
        <v>1031</v>
      </c>
    </row>
    <row r="528" spans="1:10" x14ac:dyDescent="0.25">
      <c r="A528" s="52" t="s">
        <v>536</v>
      </c>
      <c r="B528" s="53">
        <v>45786</v>
      </c>
      <c r="C528" s="52" t="s">
        <v>1014</v>
      </c>
      <c r="D528" s="52" t="s">
        <v>1024</v>
      </c>
      <c r="E528" s="52">
        <v>99</v>
      </c>
      <c r="F528" s="52">
        <v>1170</v>
      </c>
      <c r="G528" s="52">
        <v>115830</v>
      </c>
      <c r="H528" s="52" t="s">
        <v>1025</v>
      </c>
      <c r="I528" s="52" t="s">
        <v>1028</v>
      </c>
      <c r="J528" s="53">
        <v>45793</v>
      </c>
    </row>
    <row r="529" spans="1:10" x14ac:dyDescent="0.25">
      <c r="A529" s="52" t="s">
        <v>537</v>
      </c>
      <c r="B529" s="53">
        <v>45911</v>
      </c>
      <c r="C529" s="52" t="s">
        <v>1012</v>
      </c>
      <c r="D529" s="52" t="s">
        <v>1017</v>
      </c>
      <c r="E529" s="52">
        <v>272</v>
      </c>
      <c r="F529" s="52">
        <v>600</v>
      </c>
      <c r="G529" s="52">
        <v>163200</v>
      </c>
      <c r="H529" s="52" t="s">
        <v>1025</v>
      </c>
      <c r="I529" s="52" t="s">
        <v>1028</v>
      </c>
      <c r="J529" s="53">
        <v>45919</v>
      </c>
    </row>
    <row r="530" spans="1:10" x14ac:dyDescent="0.25">
      <c r="A530" s="52" t="s">
        <v>538</v>
      </c>
      <c r="B530" s="53">
        <v>45702</v>
      </c>
      <c r="C530" s="52" t="s">
        <v>1011</v>
      </c>
      <c r="D530" s="52" t="s">
        <v>1015</v>
      </c>
      <c r="E530" s="52">
        <v>295</v>
      </c>
      <c r="F530" s="52">
        <v>764</v>
      </c>
      <c r="G530" s="52">
        <v>225380</v>
      </c>
      <c r="H530" s="52" t="s">
        <v>1027</v>
      </c>
      <c r="I530" s="52" t="s">
        <v>1029</v>
      </c>
      <c r="J530" s="53" t="s">
        <v>1031</v>
      </c>
    </row>
    <row r="531" spans="1:10" x14ac:dyDescent="0.25">
      <c r="A531" s="52" t="s">
        <v>539</v>
      </c>
      <c r="B531" s="53">
        <v>45723</v>
      </c>
      <c r="C531" s="52" t="s">
        <v>1010</v>
      </c>
      <c r="D531" s="52" t="s">
        <v>1024</v>
      </c>
      <c r="E531" s="52">
        <v>201</v>
      </c>
      <c r="F531" s="52">
        <v>1875</v>
      </c>
      <c r="G531" s="52">
        <v>376875</v>
      </c>
      <c r="H531" s="52" t="s">
        <v>1027</v>
      </c>
      <c r="I531" s="52" t="s">
        <v>1026</v>
      </c>
      <c r="J531" s="53" t="s">
        <v>1031</v>
      </c>
    </row>
    <row r="532" spans="1:10" x14ac:dyDescent="0.25">
      <c r="A532" s="52" t="s">
        <v>540</v>
      </c>
      <c r="B532" s="53">
        <v>45968</v>
      </c>
      <c r="C532" s="52" t="s">
        <v>1013</v>
      </c>
      <c r="D532" s="52" t="s">
        <v>1020</v>
      </c>
      <c r="E532" s="52">
        <v>178</v>
      </c>
      <c r="F532" s="52">
        <v>1034</v>
      </c>
      <c r="G532" s="52">
        <v>184052</v>
      </c>
      <c r="H532" s="52" t="s">
        <v>1027</v>
      </c>
      <c r="I532" s="52" t="s">
        <v>1029</v>
      </c>
      <c r="J532" s="53" t="s">
        <v>1031</v>
      </c>
    </row>
    <row r="533" spans="1:10" x14ac:dyDescent="0.25">
      <c r="A533" s="52" t="s">
        <v>541</v>
      </c>
      <c r="B533" s="53">
        <v>45675</v>
      </c>
      <c r="C533" s="52" t="s">
        <v>1013</v>
      </c>
      <c r="D533" s="52" t="s">
        <v>1015</v>
      </c>
      <c r="E533" s="52">
        <v>496</v>
      </c>
      <c r="F533" s="52">
        <v>883</v>
      </c>
      <c r="G533" s="52">
        <v>437968</v>
      </c>
      <c r="H533" s="52" t="s">
        <v>1030</v>
      </c>
      <c r="I533" s="52" t="s">
        <v>1029</v>
      </c>
      <c r="J533" s="53" t="s">
        <v>1031</v>
      </c>
    </row>
    <row r="534" spans="1:10" x14ac:dyDescent="0.25">
      <c r="A534" s="52" t="s">
        <v>542</v>
      </c>
      <c r="B534" s="53">
        <v>45788</v>
      </c>
      <c r="C534" s="52" t="s">
        <v>1014</v>
      </c>
      <c r="D534" s="52" t="s">
        <v>1019</v>
      </c>
      <c r="E534" s="52">
        <v>251</v>
      </c>
      <c r="F534" s="52">
        <v>986</v>
      </c>
      <c r="G534" s="52">
        <v>247486</v>
      </c>
      <c r="H534" s="52" t="s">
        <v>1030</v>
      </c>
      <c r="I534" s="52" t="s">
        <v>1028</v>
      </c>
      <c r="J534" s="53">
        <v>45797</v>
      </c>
    </row>
    <row r="535" spans="1:10" x14ac:dyDescent="0.25">
      <c r="A535" s="52" t="s">
        <v>543</v>
      </c>
      <c r="B535" s="53">
        <v>45747</v>
      </c>
      <c r="C535" s="52" t="s">
        <v>1013</v>
      </c>
      <c r="D535" s="52" t="s">
        <v>1024</v>
      </c>
      <c r="E535" s="52">
        <v>412</v>
      </c>
      <c r="F535" s="52">
        <v>28</v>
      </c>
      <c r="G535" s="52">
        <v>11536</v>
      </c>
      <c r="H535" s="52" t="s">
        <v>1030</v>
      </c>
      <c r="I535" s="52" t="s">
        <v>1028</v>
      </c>
      <c r="J535" s="53">
        <v>45759</v>
      </c>
    </row>
    <row r="536" spans="1:10" x14ac:dyDescent="0.25">
      <c r="A536" s="52" t="s">
        <v>544</v>
      </c>
      <c r="B536" s="53">
        <v>45715</v>
      </c>
      <c r="C536" s="52" t="s">
        <v>1014</v>
      </c>
      <c r="D536" s="52" t="s">
        <v>1023</v>
      </c>
      <c r="E536" s="52">
        <v>152</v>
      </c>
      <c r="F536" s="52">
        <v>791</v>
      </c>
      <c r="G536" s="52">
        <v>120232</v>
      </c>
      <c r="H536" s="52" t="s">
        <v>1030</v>
      </c>
      <c r="I536" s="52" t="s">
        <v>1029</v>
      </c>
      <c r="J536" s="53" t="s">
        <v>1031</v>
      </c>
    </row>
    <row r="537" spans="1:10" x14ac:dyDescent="0.25">
      <c r="A537" s="52" t="s">
        <v>545</v>
      </c>
      <c r="B537" s="53">
        <v>45784</v>
      </c>
      <c r="C537" s="52" t="s">
        <v>1013</v>
      </c>
      <c r="D537" s="52" t="s">
        <v>1020</v>
      </c>
      <c r="E537" s="52">
        <v>498</v>
      </c>
      <c r="F537" s="52">
        <v>748</v>
      </c>
      <c r="G537" s="52">
        <v>372504</v>
      </c>
      <c r="H537" s="52" t="s">
        <v>1030</v>
      </c>
      <c r="I537" s="52" t="s">
        <v>1026</v>
      </c>
      <c r="J537" s="53" t="s">
        <v>1031</v>
      </c>
    </row>
    <row r="538" spans="1:10" x14ac:dyDescent="0.25">
      <c r="A538" s="52" t="s">
        <v>546</v>
      </c>
      <c r="B538" s="53">
        <v>45856</v>
      </c>
      <c r="C538" s="52" t="s">
        <v>1010</v>
      </c>
      <c r="D538" s="52" t="s">
        <v>1021</v>
      </c>
      <c r="E538" s="52">
        <v>415</v>
      </c>
      <c r="F538" s="52">
        <v>1931</v>
      </c>
      <c r="G538" s="52">
        <v>801365</v>
      </c>
      <c r="H538" s="52" t="s">
        <v>1027</v>
      </c>
      <c r="I538" s="52" t="s">
        <v>1028</v>
      </c>
      <c r="J538" s="53">
        <v>45861</v>
      </c>
    </row>
    <row r="539" spans="1:10" x14ac:dyDescent="0.25">
      <c r="A539" s="52" t="s">
        <v>547</v>
      </c>
      <c r="B539" s="53">
        <v>45874</v>
      </c>
      <c r="C539" s="52" t="s">
        <v>1014</v>
      </c>
      <c r="D539" s="52" t="s">
        <v>1024</v>
      </c>
      <c r="E539" s="52">
        <v>473</v>
      </c>
      <c r="F539" s="52">
        <v>1432</v>
      </c>
      <c r="G539" s="52">
        <v>677336</v>
      </c>
      <c r="H539" s="52" t="s">
        <v>1027</v>
      </c>
      <c r="I539" s="52" t="s">
        <v>1028</v>
      </c>
      <c r="J539" s="53">
        <v>45886</v>
      </c>
    </row>
    <row r="540" spans="1:10" x14ac:dyDescent="0.25">
      <c r="A540" s="52" t="s">
        <v>548</v>
      </c>
      <c r="B540" s="53">
        <v>45684</v>
      </c>
      <c r="C540" s="52" t="s">
        <v>1011</v>
      </c>
      <c r="D540" s="52" t="s">
        <v>1022</v>
      </c>
      <c r="E540" s="52">
        <v>40</v>
      </c>
      <c r="F540" s="52">
        <v>953</v>
      </c>
      <c r="G540" s="52">
        <v>38120</v>
      </c>
      <c r="H540" s="52" t="s">
        <v>1027</v>
      </c>
      <c r="I540" s="52" t="s">
        <v>1028</v>
      </c>
      <c r="J540" s="53">
        <v>45695</v>
      </c>
    </row>
    <row r="541" spans="1:10" x14ac:dyDescent="0.25">
      <c r="A541" s="52" t="s">
        <v>549</v>
      </c>
      <c r="B541" s="53">
        <v>45800</v>
      </c>
      <c r="C541" s="52" t="s">
        <v>1012</v>
      </c>
      <c r="D541" s="52" t="s">
        <v>1019</v>
      </c>
      <c r="E541" s="52">
        <v>435</v>
      </c>
      <c r="F541" s="52">
        <v>950</v>
      </c>
      <c r="G541" s="52">
        <v>413250</v>
      </c>
      <c r="H541" s="52" t="s">
        <v>1030</v>
      </c>
      <c r="I541" s="52" t="s">
        <v>1029</v>
      </c>
      <c r="J541" s="53" t="s">
        <v>1031</v>
      </c>
    </row>
    <row r="542" spans="1:10" x14ac:dyDescent="0.25">
      <c r="A542" s="52" t="s">
        <v>550</v>
      </c>
      <c r="B542" s="53">
        <v>46041</v>
      </c>
      <c r="C542" s="52" t="s">
        <v>1013</v>
      </c>
      <c r="D542" s="52" t="s">
        <v>1016</v>
      </c>
      <c r="E542" s="52">
        <v>423</v>
      </c>
      <c r="F542" s="52">
        <v>439</v>
      </c>
      <c r="G542" s="52">
        <v>185697</v>
      </c>
      <c r="H542" s="52" t="s">
        <v>1030</v>
      </c>
      <c r="I542" s="52" t="s">
        <v>1026</v>
      </c>
      <c r="J542" s="53" t="s">
        <v>1031</v>
      </c>
    </row>
    <row r="543" spans="1:10" x14ac:dyDescent="0.25">
      <c r="A543" s="52" t="s">
        <v>551</v>
      </c>
      <c r="B543" s="53">
        <v>46048</v>
      </c>
      <c r="C543" s="52" t="s">
        <v>1014</v>
      </c>
      <c r="D543" s="52" t="s">
        <v>1019</v>
      </c>
      <c r="E543" s="52">
        <v>296</v>
      </c>
      <c r="F543" s="52">
        <v>1752</v>
      </c>
      <c r="G543" s="52">
        <v>518592</v>
      </c>
      <c r="H543" s="52" t="s">
        <v>1027</v>
      </c>
      <c r="I543" s="52" t="s">
        <v>1029</v>
      </c>
      <c r="J543" s="53" t="s">
        <v>1031</v>
      </c>
    </row>
    <row r="544" spans="1:10" x14ac:dyDescent="0.25">
      <c r="A544" s="52" t="s">
        <v>552</v>
      </c>
      <c r="B544" s="53">
        <v>45705</v>
      </c>
      <c r="C544" s="52" t="s">
        <v>1014</v>
      </c>
      <c r="D544" s="52" t="s">
        <v>1019</v>
      </c>
      <c r="E544" s="52">
        <v>226</v>
      </c>
      <c r="F544" s="52">
        <v>884</v>
      </c>
      <c r="G544" s="52">
        <v>199784</v>
      </c>
      <c r="H544" s="52" t="s">
        <v>1030</v>
      </c>
      <c r="I544" s="52" t="s">
        <v>1028</v>
      </c>
      <c r="J544" s="53">
        <v>45718</v>
      </c>
    </row>
    <row r="545" spans="1:10" x14ac:dyDescent="0.25">
      <c r="A545" s="52" t="s">
        <v>553</v>
      </c>
      <c r="B545" s="53">
        <v>46001</v>
      </c>
      <c r="C545" s="52" t="s">
        <v>1010</v>
      </c>
      <c r="D545" s="52" t="s">
        <v>1024</v>
      </c>
      <c r="E545" s="52">
        <v>5</v>
      </c>
      <c r="F545" s="52">
        <v>1255</v>
      </c>
      <c r="G545" s="52">
        <v>6275</v>
      </c>
      <c r="H545" s="52" t="s">
        <v>1030</v>
      </c>
      <c r="I545" s="52" t="s">
        <v>1028</v>
      </c>
      <c r="J545" s="53">
        <v>46010</v>
      </c>
    </row>
    <row r="546" spans="1:10" x14ac:dyDescent="0.25">
      <c r="A546" s="52" t="s">
        <v>554</v>
      </c>
      <c r="B546" s="53">
        <v>45895</v>
      </c>
      <c r="C546" s="52" t="s">
        <v>1014</v>
      </c>
      <c r="D546" s="52" t="s">
        <v>1020</v>
      </c>
      <c r="E546" s="52">
        <v>28</v>
      </c>
      <c r="F546" s="52">
        <v>952</v>
      </c>
      <c r="G546" s="52">
        <v>26656</v>
      </c>
      <c r="H546" s="52" t="s">
        <v>1025</v>
      </c>
      <c r="I546" s="52" t="s">
        <v>1029</v>
      </c>
      <c r="J546" s="53" t="s">
        <v>1031</v>
      </c>
    </row>
    <row r="547" spans="1:10" x14ac:dyDescent="0.25">
      <c r="A547" s="52" t="s">
        <v>555</v>
      </c>
      <c r="B547" s="53">
        <v>45860</v>
      </c>
      <c r="C547" s="52" t="s">
        <v>1010</v>
      </c>
      <c r="D547" s="52" t="s">
        <v>1020</v>
      </c>
      <c r="E547" s="52">
        <v>470</v>
      </c>
      <c r="F547" s="52">
        <v>1589</v>
      </c>
      <c r="G547" s="52">
        <v>746830</v>
      </c>
      <c r="H547" s="52" t="s">
        <v>1030</v>
      </c>
      <c r="I547" s="52" t="s">
        <v>1028</v>
      </c>
      <c r="J547" s="53">
        <v>45873</v>
      </c>
    </row>
    <row r="548" spans="1:10" x14ac:dyDescent="0.25">
      <c r="A548" s="52" t="s">
        <v>556</v>
      </c>
      <c r="B548" s="53">
        <v>45672</v>
      </c>
      <c r="C548" s="52" t="s">
        <v>1014</v>
      </c>
      <c r="D548" s="52" t="s">
        <v>1015</v>
      </c>
      <c r="E548" s="52">
        <v>382</v>
      </c>
      <c r="F548" s="52">
        <v>1743</v>
      </c>
      <c r="G548" s="52">
        <v>665826</v>
      </c>
      <c r="H548" s="52" t="s">
        <v>1030</v>
      </c>
      <c r="I548" s="52" t="s">
        <v>1028</v>
      </c>
      <c r="J548" s="53">
        <v>45682</v>
      </c>
    </row>
    <row r="549" spans="1:10" x14ac:dyDescent="0.25">
      <c r="A549" s="52" t="s">
        <v>557</v>
      </c>
      <c r="B549" s="53">
        <v>45665</v>
      </c>
      <c r="C549" s="52" t="s">
        <v>1011</v>
      </c>
      <c r="D549" s="52" t="s">
        <v>1015</v>
      </c>
      <c r="E549" s="52">
        <v>107</v>
      </c>
      <c r="F549" s="52">
        <v>1204</v>
      </c>
      <c r="G549" s="52">
        <v>128828</v>
      </c>
      <c r="H549" s="52" t="s">
        <v>1027</v>
      </c>
      <c r="I549" s="52" t="s">
        <v>1029</v>
      </c>
      <c r="J549" s="53" t="s">
        <v>1031</v>
      </c>
    </row>
    <row r="550" spans="1:10" x14ac:dyDescent="0.25">
      <c r="A550" s="52" t="s">
        <v>558</v>
      </c>
      <c r="B550" s="53">
        <v>45771</v>
      </c>
      <c r="C550" s="52" t="s">
        <v>1013</v>
      </c>
      <c r="D550" s="52" t="s">
        <v>1023</v>
      </c>
      <c r="E550" s="52">
        <v>304</v>
      </c>
      <c r="F550" s="52">
        <v>979</v>
      </c>
      <c r="G550" s="52">
        <v>297616</v>
      </c>
      <c r="H550" s="52" t="s">
        <v>1030</v>
      </c>
      <c r="I550" s="52" t="s">
        <v>1026</v>
      </c>
      <c r="J550" s="53" t="s">
        <v>1031</v>
      </c>
    </row>
    <row r="551" spans="1:10" x14ac:dyDescent="0.25">
      <c r="A551" s="52" t="s">
        <v>559</v>
      </c>
      <c r="B551" s="53">
        <v>45663</v>
      </c>
      <c r="C551" s="52" t="s">
        <v>1012</v>
      </c>
      <c r="D551" s="52" t="s">
        <v>1021</v>
      </c>
      <c r="E551" s="52">
        <v>84</v>
      </c>
      <c r="F551" s="52">
        <v>1378</v>
      </c>
      <c r="G551" s="52">
        <v>115752</v>
      </c>
      <c r="H551" s="52" t="s">
        <v>1027</v>
      </c>
      <c r="I551" s="52" t="s">
        <v>1029</v>
      </c>
      <c r="J551" s="53" t="s">
        <v>1031</v>
      </c>
    </row>
    <row r="552" spans="1:10" x14ac:dyDescent="0.25">
      <c r="A552" s="52" t="s">
        <v>560</v>
      </c>
      <c r="B552" s="53">
        <v>45784</v>
      </c>
      <c r="C552" s="52" t="s">
        <v>1014</v>
      </c>
      <c r="D552" s="52" t="s">
        <v>1016</v>
      </c>
      <c r="E552" s="52">
        <v>148</v>
      </c>
      <c r="F552" s="52">
        <v>650</v>
      </c>
      <c r="G552" s="52">
        <v>96200</v>
      </c>
      <c r="H552" s="52" t="s">
        <v>1027</v>
      </c>
      <c r="I552" s="52" t="s">
        <v>1028</v>
      </c>
      <c r="J552" s="53">
        <v>45799</v>
      </c>
    </row>
    <row r="553" spans="1:10" x14ac:dyDescent="0.25">
      <c r="A553" s="52" t="s">
        <v>561</v>
      </c>
      <c r="B553" s="53">
        <v>45701</v>
      </c>
      <c r="C553" s="52" t="s">
        <v>1014</v>
      </c>
      <c r="D553" s="52" t="s">
        <v>1024</v>
      </c>
      <c r="E553" s="52">
        <v>177</v>
      </c>
      <c r="F553" s="52">
        <v>1614</v>
      </c>
      <c r="G553" s="52">
        <v>285678</v>
      </c>
      <c r="H553" s="52" t="s">
        <v>1030</v>
      </c>
      <c r="I553" s="52" t="s">
        <v>1026</v>
      </c>
      <c r="J553" s="53" t="s">
        <v>1031</v>
      </c>
    </row>
    <row r="554" spans="1:10" x14ac:dyDescent="0.25">
      <c r="A554" s="52" t="s">
        <v>562</v>
      </c>
      <c r="B554" s="53">
        <v>45911</v>
      </c>
      <c r="C554" s="52" t="s">
        <v>1014</v>
      </c>
      <c r="D554" s="52" t="s">
        <v>1021</v>
      </c>
      <c r="E554" s="52">
        <v>27</v>
      </c>
      <c r="F554" s="52">
        <v>194</v>
      </c>
      <c r="G554" s="52">
        <v>5238</v>
      </c>
      <c r="H554" s="52" t="s">
        <v>1027</v>
      </c>
      <c r="I554" s="52" t="s">
        <v>1026</v>
      </c>
      <c r="J554" s="53" t="s">
        <v>1031</v>
      </c>
    </row>
    <row r="555" spans="1:10" x14ac:dyDescent="0.25">
      <c r="A555" s="52" t="s">
        <v>563</v>
      </c>
      <c r="B555" s="53">
        <v>45772</v>
      </c>
      <c r="C555" s="52" t="s">
        <v>1013</v>
      </c>
      <c r="D555" s="52" t="s">
        <v>1018</v>
      </c>
      <c r="E555" s="52">
        <v>166</v>
      </c>
      <c r="F555" s="52">
        <v>656</v>
      </c>
      <c r="G555" s="52">
        <v>108896</v>
      </c>
      <c r="H555" s="52" t="s">
        <v>1025</v>
      </c>
      <c r="I555" s="52" t="s">
        <v>1026</v>
      </c>
      <c r="J555" s="53" t="s">
        <v>1031</v>
      </c>
    </row>
    <row r="556" spans="1:10" x14ac:dyDescent="0.25">
      <c r="A556" s="52" t="s">
        <v>564</v>
      </c>
      <c r="B556" s="53">
        <v>45953</v>
      </c>
      <c r="C556" s="52" t="s">
        <v>1012</v>
      </c>
      <c r="D556" s="52" t="s">
        <v>1022</v>
      </c>
      <c r="E556" s="52">
        <v>403</v>
      </c>
      <c r="F556" s="52">
        <v>447</v>
      </c>
      <c r="G556" s="52">
        <v>180141</v>
      </c>
      <c r="H556" s="52" t="s">
        <v>1030</v>
      </c>
      <c r="I556" s="52" t="s">
        <v>1028</v>
      </c>
      <c r="J556" s="53">
        <v>45964</v>
      </c>
    </row>
    <row r="557" spans="1:10" x14ac:dyDescent="0.25">
      <c r="A557" s="52" t="s">
        <v>565</v>
      </c>
      <c r="B557" s="53">
        <v>45712</v>
      </c>
      <c r="C557" s="52" t="s">
        <v>1013</v>
      </c>
      <c r="D557" s="52" t="s">
        <v>1017</v>
      </c>
      <c r="E557" s="52">
        <v>434</v>
      </c>
      <c r="F557" s="52">
        <v>681</v>
      </c>
      <c r="G557" s="52">
        <v>295554</v>
      </c>
      <c r="H557" s="52" t="s">
        <v>1030</v>
      </c>
      <c r="I557" s="52" t="s">
        <v>1028</v>
      </c>
      <c r="J557" s="53">
        <v>45720</v>
      </c>
    </row>
    <row r="558" spans="1:10" x14ac:dyDescent="0.25">
      <c r="A558" s="52" t="s">
        <v>566</v>
      </c>
      <c r="B558" s="53">
        <v>46044</v>
      </c>
      <c r="C558" s="52" t="s">
        <v>1010</v>
      </c>
      <c r="D558" s="52" t="s">
        <v>1015</v>
      </c>
      <c r="E558" s="52">
        <v>68</v>
      </c>
      <c r="F558" s="52">
        <v>1554</v>
      </c>
      <c r="G558" s="52">
        <v>105672</v>
      </c>
      <c r="H558" s="52" t="s">
        <v>1030</v>
      </c>
      <c r="I558" s="52" t="s">
        <v>1029</v>
      </c>
      <c r="J558" s="53" t="s">
        <v>1031</v>
      </c>
    </row>
    <row r="559" spans="1:10" x14ac:dyDescent="0.25">
      <c r="A559" s="52" t="s">
        <v>567</v>
      </c>
      <c r="B559" s="53">
        <v>45877</v>
      </c>
      <c r="C559" s="52" t="s">
        <v>1011</v>
      </c>
      <c r="D559" s="52" t="s">
        <v>1017</v>
      </c>
      <c r="E559" s="52">
        <v>220</v>
      </c>
      <c r="F559" s="52">
        <v>985</v>
      </c>
      <c r="G559" s="52">
        <v>216700</v>
      </c>
      <c r="H559" s="52" t="s">
        <v>1025</v>
      </c>
      <c r="I559" s="52" t="s">
        <v>1029</v>
      </c>
      <c r="J559" s="53" t="s">
        <v>1031</v>
      </c>
    </row>
    <row r="560" spans="1:10" x14ac:dyDescent="0.25">
      <c r="A560" s="52" t="s">
        <v>568</v>
      </c>
      <c r="B560" s="53">
        <v>45761</v>
      </c>
      <c r="C560" s="52" t="s">
        <v>1010</v>
      </c>
      <c r="D560" s="52" t="s">
        <v>1019</v>
      </c>
      <c r="E560" s="52">
        <v>260</v>
      </c>
      <c r="F560" s="52">
        <v>1919</v>
      </c>
      <c r="G560" s="52">
        <v>498940</v>
      </c>
      <c r="H560" s="52" t="s">
        <v>1030</v>
      </c>
      <c r="I560" s="52" t="s">
        <v>1028</v>
      </c>
      <c r="J560" s="53">
        <v>45775</v>
      </c>
    </row>
    <row r="561" spans="1:10" x14ac:dyDescent="0.25">
      <c r="A561" s="52" t="s">
        <v>569</v>
      </c>
      <c r="B561" s="53">
        <v>45867</v>
      </c>
      <c r="C561" s="52" t="s">
        <v>1014</v>
      </c>
      <c r="D561" s="52" t="s">
        <v>1015</v>
      </c>
      <c r="E561" s="52">
        <v>457</v>
      </c>
      <c r="F561" s="52">
        <v>1681</v>
      </c>
      <c r="G561" s="52">
        <v>768217</v>
      </c>
      <c r="H561" s="52" t="s">
        <v>1030</v>
      </c>
      <c r="I561" s="52" t="s">
        <v>1029</v>
      </c>
      <c r="J561" s="53" t="s">
        <v>1031</v>
      </c>
    </row>
    <row r="562" spans="1:10" x14ac:dyDescent="0.25">
      <c r="A562" s="52" t="s">
        <v>570</v>
      </c>
      <c r="B562" s="53">
        <v>45904</v>
      </c>
      <c r="C562" s="52" t="s">
        <v>1012</v>
      </c>
      <c r="D562" s="52" t="s">
        <v>1024</v>
      </c>
      <c r="E562" s="52">
        <v>492</v>
      </c>
      <c r="F562" s="52">
        <v>478</v>
      </c>
      <c r="G562" s="52">
        <v>235176</v>
      </c>
      <c r="H562" s="52" t="s">
        <v>1027</v>
      </c>
      <c r="I562" s="52" t="s">
        <v>1026</v>
      </c>
      <c r="J562" s="53" t="s">
        <v>1031</v>
      </c>
    </row>
    <row r="563" spans="1:10" x14ac:dyDescent="0.25">
      <c r="A563" s="52" t="s">
        <v>571</v>
      </c>
      <c r="B563" s="53">
        <v>45687</v>
      </c>
      <c r="C563" s="52" t="s">
        <v>1012</v>
      </c>
      <c r="D563" s="52" t="s">
        <v>1021</v>
      </c>
      <c r="E563" s="52">
        <v>452</v>
      </c>
      <c r="F563" s="52">
        <v>704</v>
      </c>
      <c r="G563" s="52">
        <v>318208</v>
      </c>
      <c r="H563" s="52" t="s">
        <v>1030</v>
      </c>
      <c r="I563" s="52" t="s">
        <v>1028</v>
      </c>
      <c r="J563" s="53">
        <v>45699</v>
      </c>
    </row>
    <row r="564" spans="1:10" x14ac:dyDescent="0.25">
      <c r="A564" s="52" t="s">
        <v>572</v>
      </c>
      <c r="B564" s="53">
        <v>45763</v>
      </c>
      <c r="C564" s="52" t="s">
        <v>1014</v>
      </c>
      <c r="D564" s="52" t="s">
        <v>1024</v>
      </c>
      <c r="E564" s="52">
        <v>277</v>
      </c>
      <c r="F564" s="52">
        <v>1272</v>
      </c>
      <c r="G564" s="52">
        <v>352344</v>
      </c>
      <c r="H564" s="52" t="s">
        <v>1025</v>
      </c>
      <c r="I564" s="52" t="s">
        <v>1028</v>
      </c>
      <c r="J564" s="53">
        <v>45768</v>
      </c>
    </row>
    <row r="565" spans="1:10" x14ac:dyDescent="0.25">
      <c r="A565" s="52" t="s">
        <v>573</v>
      </c>
      <c r="B565" s="53">
        <v>45974</v>
      </c>
      <c r="C565" s="52" t="s">
        <v>1012</v>
      </c>
      <c r="D565" s="52" t="s">
        <v>1021</v>
      </c>
      <c r="E565" s="52">
        <v>124</v>
      </c>
      <c r="F565" s="52">
        <v>486</v>
      </c>
      <c r="G565" s="52">
        <v>60264</v>
      </c>
      <c r="H565" s="52" t="s">
        <v>1027</v>
      </c>
      <c r="I565" s="52" t="s">
        <v>1029</v>
      </c>
      <c r="J565" s="53" t="s">
        <v>1031</v>
      </c>
    </row>
    <row r="566" spans="1:10" x14ac:dyDescent="0.25">
      <c r="A566" s="52" t="s">
        <v>574</v>
      </c>
      <c r="B566" s="53">
        <v>45710</v>
      </c>
      <c r="C566" s="52" t="s">
        <v>1012</v>
      </c>
      <c r="D566" s="52" t="s">
        <v>1019</v>
      </c>
      <c r="E566" s="52">
        <v>117</v>
      </c>
      <c r="F566" s="52">
        <v>1943</v>
      </c>
      <c r="G566" s="52">
        <v>227331</v>
      </c>
      <c r="H566" s="52" t="s">
        <v>1027</v>
      </c>
      <c r="I566" s="52" t="s">
        <v>1028</v>
      </c>
      <c r="J566" s="53">
        <v>45721</v>
      </c>
    </row>
    <row r="567" spans="1:10" x14ac:dyDescent="0.25">
      <c r="A567" s="52" t="s">
        <v>575</v>
      </c>
      <c r="B567" s="53">
        <v>45996</v>
      </c>
      <c r="C567" s="52" t="s">
        <v>1011</v>
      </c>
      <c r="D567" s="52" t="s">
        <v>1016</v>
      </c>
      <c r="E567" s="52">
        <v>85</v>
      </c>
      <c r="F567" s="52">
        <v>1872</v>
      </c>
      <c r="G567" s="52">
        <v>159120</v>
      </c>
      <c r="H567" s="52" t="s">
        <v>1030</v>
      </c>
      <c r="I567" s="52" t="s">
        <v>1029</v>
      </c>
      <c r="J567" s="53" t="s">
        <v>1031</v>
      </c>
    </row>
    <row r="568" spans="1:10" x14ac:dyDescent="0.25">
      <c r="A568" s="52" t="s">
        <v>576</v>
      </c>
      <c r="B568" s="53">
        <v>45747</v>
      </c>
      <c r="C568" s="52" t="s">
        <v>1014</v>
      </c>
      <c r="D568" s="52" t="s">
        <v>1020</v>
      </c>
      <c r="E568" s="52">
        <v>446</v>
      </c>
      <c r="F568" s="52">
        <v>1704</v>
      </c>
      <c r="G568" s="52">
        <v>759984</v>
      </c>
      <c r="H568" s="52" t="s">
        <v>1025</v>
      </c>
      <c r="I568" s="52" t="s">
        <v>1029</v>
      </c>
      <c r="J568" s="53" t="s">
        <v>1031</v>
      </c>
    </row>
    <row r="569" spans="1:10" x14ac:dyDescent="0.25">
      <c r="A569" s="52" t="s">
        <v>577</v>
      </c>
      <c r="B569" s="53">
        <v>45988</v>
      </c>
      <c r="C569" s="52" t="s">
        <v>1010</v>
      </c>
      <c r="D569" s="52" t="s">
        <v>1018</v>
      </c>
      <c r="E569" s="52">
        <v>339</v>
      </c>
      <c r="F569" s="52">
        <v>329</v>
      </c>
      <c r="G569" s="52">
        <v>111531</v>
      </c>
      <c r="H569" s="52" t="s">
        <v>1030</v>
      </c>
      <c r="I569" s="52" t="s">
        <v>1029</v>
      </c>
      <c r="J569" s="53" t="s">
        <v>1031</v>
      </c>
    </row>
    <row r="570" spans="1:10" x14ac:dyDescent="0.25">
      <c r="A570" s="52" t="s">
        <v>578</v>
      </c>
      <c r="B570" s="53">
        <v>46021</v>
      </c>
      <c r="C570" s="52" t="s">
        <v>1013</v>
      </c>
      <c r="D570" s="52" t="s">
        <v>1017</v>
      </c>
      <c r="E570" s="52">
        <v>316</v>
      </c>
      <c r="F570" s="52">
        <v>1528</v>
      </c>
      <c r="G570" s="52">
        <v>482848</v>
      </c>
      <c r="H570" s="52" t="s">
        <v>1027</v>
      </c>
      <c r="I570" s="52" t="s">
        <v>1026</v>
      </c>
      <c r="J570" s="53" t="s">
        <v>1031</v>
      </c>
    </row>
    <row r="571" spans="1:10" x14ac:dyDescent="0.25">
      <c r="A571" s="52" t="s">
        <v>579</v>
      </c>
      <c r="B571" s="53">
        <v>45789</v>
      </c>
      <c r="C571" s="52" t="s">
        <v>1011</v>
      </c>
      <c r="D571" s="52" t="s">
        <v>1018</v>
      </c>
      <c r="E571" s="52">
        <v>199</v>
      </c>
      <c r="F571" s="52">
        <v>1109</v>
      </c>
      <c r="G571" s="52">
        <v>220691</v>
      </c>
      <c r="H571" s="52" t="s">
        <v>1030</v>
      </c>
      <c r="I571" s="52" t="s">
        <v>1028</v>
      </c>
      <c r="J571" s="53">
        <v>45794</v>
      </c>
    </row>
    <row r="572" spans="1:10" x14ac:dyDescent="0.25">
      <c r="A572" s="52" t="s">
        <v>580</v>
      </c>
      <c r="B572" s="53">
        <v>45690</v>
      </c>
      <c r="C572" s="52" t="s">
        <v>1011</v>
      </c>
      <c r="D572" s="52" t="s">
        <v>1021</v>
      </c>
      <c r="E572" s="52">
        <v>455</v>
      </c>
      <c r="F572" s="52">
        <v>810</v>
      </c>
      <c r="G572" s="52">
        <v>368550</v>
      </c>
      <c r="H572" s="52" t="s">
        <v>1030</v>
      </c>
      <c r="I572" s="52" t="s">
        <v>1026</v>
      </c>
      <c r="J572" s="53" t="s">
        <v>1031</v>
      </c>
    </row>
    <row r="573" spans="1:10" x14ac:dyDescent="0.25">
      <c r="A573" s="52" t="s">
        <v>581</v>
      </c>
      <c r="B573" s="53">
        <v>45987</v>
      </c>
      <c r="C573" s="52" t="s">
        <v>1013</v>
      </c>
      <c r="D573" s="52" t="s">
        <v>1017</v>
      </c>
      <c r="E573" s="52">
        <v>222</v>
      </c>
      <c r="F573" s="52">
        <v>1272</v>
      </c>
      <c r="G573" s="52">
        <v>282384</v>
      </c>
      <c r="H573" s="52" t="s">
        <v>1025</v>
      </c>
      <c r="I573" s="52" t="s">
        <v>1028</v>
      </c>
      <c r="J573" s="53">
        <v>45997</v>
      </c>
    </row>
    <row r="574" spans="1:10" x14ac:dyDescent="0.25">
      <c r="A574" s="52" t="s">
        <v>582</v>
      </c>
      <c r="B574" s="53">
        <v>46049</v>
      </c>
      <c r="C574" s="52" t="s">
        <v>1012</v>
      </c>
      <c r="D574" s="52" t="s">
        <v>1016</v>
      </c>
      <c r="E574" s="52">
        <v>392</v>
      </c>
      <c r="F574" s="52">
        <v>1437</v>
      </c>
      <c r="G574" s="52">
        <v>563304</v>
      </c>
      <c r="H574" s="52" t="s">
        <v>1027</v>
      </c>
      <c r="I574" s="52" t="s">
        <v>1029</v>
      </c>
      <c r="J574" s="53" t="s">
        <v>1031</v>
      </c>
    </row>
    <row r="575" spans="1:10" x14ac:dyDescent="0.25">
      <c r="A575" s="52" t="s">
        <v>583</v>
      </c>
      <c r="B575" s="53">
        <v>45985</v>
      </c>
      <c r="C575" s="52" t="s">
        <v>1012</v>
      </c>
      <c r="D575" s="52" t="s">
        <v>1016</v>
      </c>
      <c r="E575" s="52">
        <v>444</v>
      </c>
      <c r="F575" s="52">
        <v>1892</v>
      </c>
      <c r="G575" s="52">
        <v>840048</v>
      </c>
      <c r="H575" s="52" t="s">
        <v>1025</v>
      </c>
      <c r="I575" s="52" t="s">
        <v>1029</v>
      </c>
      <c r="J575" s="53" t="s">
        <v>1031</v>
      </c>
    </row>
    <row r="576" spans="1:10" x14ac:dyDescent="0.25">
      <c r="A576" s="52" t="s">
        <v>584</v>
      </c>
      <c r="B576" s="53">
        <v>45826</v>
      </c>
      <c r="C576" s="52" t="s">
        <v>1011</v>
      </c>
      <c r="D576" s="52" t="s">
        <v>1020</v>
      </c>
      <c r="E576" s="52">
        <v>397</v>
      </c>
      <c r="F576" s="52">
        <v>31</v>
      </c>
      <c r="G576" s="52">
        <v>12307</v>
      </c>
      <c r="H576" s="52" t="s">
        <v>1030</v>
      </c>
      <c r="I576" s="52" t="s">
        <v>1028</v>
      </c>
      <c r="J576" s="53">
        <v>45840</v>
      </c>
    </row>
    <row r="577" spans="1:10" x14ac:dyDescent="0.25">
      <c r="A577" s="52" t="s">
        <v>585</v>
      </c>
      <c r="B577" s="53">
        <v>46007</v>
      </c>
      <c r="C577" s="52" t="s">
        <v>1013</v>
      </c>
      <c r="D577" s="52" t="s">
        <v>1020</v>
      </c>
      <c r="E577" s="52">
        <v>186</v>
      </c>
      <c r="F577" s="52">
        <v>91</v>
      </c>
      <c r="G577" s="52">
        <v>16926</v>
      </c>
      <c r="H577" s="52" t="s">
        <v>1030</v>
      </c>
      <c r="I577" s="52" t="s">
        <v>1026</v>
      </c>
      <c r="J577" s="53" t="s">
        <v>1031</v>
      </c>
    </row>
    <row r="578" spans="1:10" x14ac:dyDescent="0.25">
      <c r="A578" s="52" t="s">
        <v>586</v>
      </c>
      <c r="B578" s="53">
        <v>45758</v>
      </c>
      <c r="C578" s="52" t="s">
        <v>1013</v>
      </c>
      <c r="D578" s="52" t="s">
        <v>1021</v>
      </c>
      <c r="E578" s="52">
        <v>118</v>
      </c>
      <c r="F578" s="52">
        <v>1823</v>
      </c>
      <c r="G578" s="52">
        <v>215114</v>
      </c>
      <c r="H578" s="52" t="s">
        <v>1025</v>
      </c>
      <c r="I578" s="52" t="s">
        <v>1028</v>
      </c>
      <c r="J578" s="53">
        <v>45770</v>
      </c>
    </row>
    <row r="579" spans="1:10" x14ac:dyDescent="0.25">
      <c r="A579" s="52" t="s">
        <v>587</v>
      </c>
      <c r="B579" s="53">
        <v>45732</v>
      </c>
      <c r="C579" s="52" t="s">
        <v>1014</v>
      </c>
      <c r="D579" s="52" t="s">
        <v>1021</v>
      </c>
      <c r="E579" s="52">
        <v>118</v>
      </c>
      <c r="F579" s="52">
        <v>1241</v>
      </c>
      <c r="G579" s="52">
        <v>146438</v>
      </c>
      <c r="H579" s="52" t="s">
        <v>1025</v>
      </c>
      <c r="I579" s="52" t="s">
        <v>1026</v>
      </c>
      <c r="J579" s="53" t="s">
        <v>1031</v>
      </c>
    </row>
    <row r="580" spans="1:10" x14ac:dyDescent="0.25">
      <c r="A580" s="52" t="s">
        <v>588</v>
      </c>
      <c r="B580" s="53">
        <v>46027</v>
      </c>
      <c r="C580" s="52" t="s">
        <v>1011</v>
      </c>
      <c r="D580" s="52" t="s">
        <v>1018</v>
      </c>
      <c r="E580" s="52">
        <v>40</v>
      </c>
      <c r="F580" s="52">
        <v>323</v>
      </c>
      <c r="G580" s="52">
        <v>12920</v>
      </c>
      <c r="H580" s="52" t="s">
        <v>1025</v>
      </c>
      <c r="I580" s="52" t="s">
        <v>1029</v>
      </c>
      <c r="J580" s="53" t="s">
        <v>1031</v>
      </c>
    </row>
    <row r="581" spans="1:10" x14ac:dyDescent="0.25">
      <c r="A581" s="52" t="s">
        <v>589</v>
      </c>
      <c r="B581" s="53">
        <v>46012</v>
      </c>
      <c r="C581" s="52" t="s">
        <v>1014</v>
      </c>
      <c r="D581" s="52" t="s">
        <v>1020</v>
      </c>
      <c r="E581" s="52">
        <v>4</v>
      </c>
      <c r="F581" s="52">
        <v>909</v>
      </c>
      <c r="G581" s="52">
        <v>3636</v>
      </c>
      <c r="H581" s="52" t="s">
        <v>1030</v>
      </c>
      <c r="I581" s="52" t="s">
        <v>1026</v>
      </c>
      <c r="J581" s="53" t="s">
        <v>1031</v>
      </c>
    </row>
    <row r="582" spans="1:10" x14ac:dyDescent="0.25">
      <c r="A582" s="52" t="s">
        <v>590</v>
      </c>
      <c r="B582" s="53">
        <v>45675</v>
      </c>
      <c r="C582" s="52" t="s">
        <v>1010</v>
      </c>
      <c r="D582" s="52" t="s">
        <v>1020</v>
      </c>
      <c r="E582" s="52">
        <v>432</v>
      </c>
      <c r="F582" s="52">
        <v>510</v>
      </c>
      <c r="G582" s="52">
        <v>220320</v>
      </c>
      <c r="H582" s="52" t="s">
        <v>1027</v>
      </c>
      <c r="I582" s="52" t="s">
        <v>1026</v>
      </c>
      <c r="J582" s="53" t="s">
        <v>1031</v>
      </c>
    </row>
    <row r="583" spans="1:10" x14ac:dyDescent="0.25">
      <c r="A583" s="52" t="s">
        <v>591</v>
      </c>
      <c r="B583" s="53">
        <v>45844</v>
      </c>
      <c r="C583" s="52" t="s">
        <v>1010</v>
      </c>
      <c r="D583" s="52" t="s">
        <v>1024</v>
      </c>
      <c r="E583" s="52">
        <v>58</v>
      </c>
      <c r="F583" s="52">
        <v>441</v>
      </c>
      <c r="G583" s="52">
        <v>25578</v>
      </c>
      <c r="H583" s="52" t="s">
        <v>1025</v>
      </c>
      <c r="I583" s="52" t="s">
        <v>1026</v>
      </c>
      <c r="J583" s="53" t="s">
        <v>1031</v>
      </c>
    </row>
    <row r="584" spans="1:10" x14ac:dyDescent="0.25">
      <c r="A584" s="52" t="s">
        <v>592</v>
      </c>
      <c r="B584" s="53">
        <v>46012</v>
      </c>
      <c r="C584" s="52" t="s">
        <v>1014</v>
      </c>
      <c r="D584" s="52" t="s">
        <v>1018</v>
      </c>
      <c r="E584" s="52">
        <v>438</v>
      </c>
      <c r="F584" s="52">
        <v>998</v>
      </c>
      <c r="G584" s="52">
        <v>437124</v>
      </c>
      <c r="H584" s="52" t="s">
        <v>1030</v>
      </c>
      <c r="I584" s="52" t="s">
        <v>1029</v>
      </c>
      <c r="J584" s="53" t="s">
        <v>1031</v>
      </c>
    </row>
    <row r="585" spans="1:10" x14ac:dyDescent="0.25">
      <c r="A585" s="52" t="s">
        <v>593</v>
      </c>
      <c r="B585" s="53">
        <v>45700</v>
      </c>
      <c r="C585" s="52" t="s">
        <v>1012</v>
      </c>
      <c r="D585" s="52" t="s">
        <v>1016</v>
      </c>
      <c r="E585" s="52">
        <v>497</v>
      </c>
      <c r="F585" s="52">
        <v>349</v>
      </c>
      <c r="G585" s="52">
        <v>173453</v>
      </c>
      <c r="H585" s="52" t="s">
        <v>1030</v>
      </c>
      <c r="I585" s="52" t="s">
        <v>1026</v>
      </c>
      <c r="J585" s="53" t="s">
        <v>1031</v>
      </c>
    </row>
    <row r="586" spans="1:10" x14ac:dyDescent="0.25">
      <c r="A586" s="52" t="s">
        <v>594</v>
      </c>
      <c r="B586" s="53">
        <v>45820</v>
      </c>
      <c r="C586" s="52" t="s">
        <v>1012</v>
      </c>
      <c r="D586" s="52" t="s">
        <v>1019</v>
      </c>
      <c r="E586" s="52">
        <v>81</v>
      </c>
      <c r="F586" s="52">
        <v>59</v>
      </c>
      <c r="G586" s="52">
        <v>4779</v>
      </c>
      <c r="H586" s="52" t="s">
        <v>1027</v>
      </c>
      <c r="I586" s="52" t="s">
        <v>1026</v>
      </c>
      <c r="J586" s="53" t="s">
        <v>1031</v>
      </c>
    </row>
    <row r="587" spans="1:10" x14ac:dyDescent="0.25">
      <c r="A587" s="52" t="s">
        <v>595</v>
      </c>
      <c r="B587" s="53">
        <v>45704</v>
      </c>
      <c r="C587" s="52" t="s">
        <v>1013</v>
      </c>
      <c r="D587" s="52" t="s">
        <v>1018</v>
      </c>
      <c r="E587" s="52">
        <v>307</v>
      </c>
      <c r="F587" s="52">
        <v>638</v>
      </c>
      <c r="G587" s="52">
        <v>195866</v>
      </c>
      <c r="H587" s="52" t="s">
        <v>1025</v>
      </c>
      <c r="I587" s="52" t="s">
        <v>1028</v>
      </c>
      <c r="J587" s="53">
        <v>45717</v>
      </c>
    </row>
    <row r="588" spans="1:10" x14ac:dyDescent="0.25">
      <c r="A588" s="52" t="s">
        <v>596</v>
      </c>
      <c r="B588" s="53">
        <v>45691</v>
      </c>
      <c r="C588" s="52" t="s">
        <v>1012</v>
      </c>
      <c r="D588" s="52" t="s">
        <v>1017</v>
      </c>
      <c r="E588" s="52">
        <v>300</v>
      </c>
      <c r="F588" s="52">
        <v>339</v>
      </c>
      <c r="G588" s="52">
        <v>101700</v>
      </c>
      <c r="H588" s="52" t="s">
        <v>1025</v>
      </c>
      <c r="I588" s="52" t="s">
        <v>1028</v>
      </c>
      <c r="J588" s="53">
        <v>45704</v>
      </c>
    </row>
    <row r="589" spans="1:10" x14ac:dyDescent="0.25">
      <c r="A589" s="52" t="s">
        <v>597</v>
      </c>
      <c r="B589" s="53">
        <v>45819</v>
      </c>
      <c r="C589" s="52" t="s">
        <v>1011</v>
      </c>
      <c r="D589" s="52" t="s">
        <v>1024</v>
      </c>
      <c r="E589" s="52">
        <v>482</v>
      </c>
      <c r="F589" s="52">
        <v>1493</v>
      </c>
      <c r="G589" s="52">
        <v>719626</v>
      </c>
      <c r="H589" s="52" t="s">
        <v>1027</v>
      </c>
      <c r="I589" s="52" t="s">
        <v>1028</v>
      </c>
      <c r="J589" s="53">
        <v>45827</v>
      </c>
    </row>
    <row r="590" spans="1:10" x14ac:dyDescent="0.25">
      <c r="A590" s="52" t="s">
        <v>598</v>
      </c>
      <c r="B590" s="53">
        <v>45708</v>
      </c>
      <c r="C590" s="52" t="s">
        <v>1014</v>
      </c>
      <c r="D590" s="52" t="s">
        <v>1022</v>
      </c>
      <c r="E590" s="52">
        <v>125</v>
      </c>
      <c r="F590" s="52">
        <v>1123</v>
      </c>
      <c r="G590" s="52">
        <v>140375</v>
      </c>
      <c r="H590" s="52" t="s">
        <v>1025</v>
      </c>
      <c r="I590" s="52" t="s">
        <v>1029</v>
      </c>
      <c r="J590" s="53" t="s">
        <v>1031</v>
      </c>
    </row>
    <row r="591" spans="1:10" x14ac:dyDescent="0.25">
      <c r="A591" s="52" t="s">
        <v>599</v>
      </c>
      <c r="B591" s="53">
        <v>45990</v>
      </c>
      <c r="C591" s="52" t="s">
        <v>1012</v>
      </c>
      <c r="D591" s="52" t="s">
        <v>1018</v>
      </c>
      <c r="E591" s="52">
        <v>276</v>
      </c>
      <c r="F591" s="52">
        <v>885</v>
      </c>
      <c r="G591" s="52">
        <v>244260</v>
      </c>
      <c r="H591" s="52" t="s">
        <v>1025</v>
      </c>
      <c r="I591" s="52" t="s">
        <v>1028</v>
      </c>
      <c r="J591" s="53">
        <v>46004</v>
      </c>
    </row>
    <row r="592" spans="1:10" x14ac:dyDescent="0.25">
      <c r="A592" s="52" t="s">
        <v>600</v>
      </c>
      <c r="B592" s="53">
        <v>45813</v>
      </c>
      <c r="C592" s="52" t="s">
        <v>1013</v>
      </c>
      <c r="D592" s="52" t="s">
        <v>1024</v>
      </c>
      <c r="E592" s="52">
        <v>173</v>
      </c>
      <c r="F592" s="52">
        <v>1457</v>
      </c>
      <c r="G592" s="52">
        <v>252061</v>
      </c>
      <c r="H592" s="52" t="s">
        <v>1030</v>
      </c>
      <c r="I592" s="52" t="s">
        <v>1029</v>
      </c>
      <c r="J592" s="53" t="s">
        <v>1031</v>
      </c>
    </row>
    <row r="593" spans="1:10" x14ac:dyDescent="0.25">
      <c r="A593" s="52" t="s">
        <v>601</v>
      </c>
      <c r="B593" s="53">
        <v>45960</v>
      </c>
      <c r="C593" s="52" t="s">
        <v>1014</v>
      </c>
      <c r="D593" s="52" t="s">
        <v>1018</v>
      </c>
      <c r="E593" s="52">
        <v>165</v>
      </c>
      <c r="F593" s="52">
        <v>1868</v>
      </c>
      <c r="G593" s="52">
        <v>308220</v>
      </c>
      <c r="H593" s="52" t="s">
        <v>1025</v>
      </c>
      <c r="I593" s="52" t="s">
        <v>1029</v>
      </c>
      <c r="J593" s="53" t="s">
        <v>1031</v>
      </c>
    </row>
    <row r="594" spans="1:10" x14ac:dyDescent="0.25">
      <c r="A594" s="52" t="s">
        <v>602</v>
      </c>
      <c r="B594" s="53">
        <v>45909</v>
      </c>
      <c r="C594" s="52" t="s">
        <v>1010</v>
      </c>
      <c r="D594" s="52" t="s">
        <v>1016</v>
      </c>
      <c r="E594" s="52">
        <v>95</v>
      </c>
      <c r="F594" s="52">
        <v>82</v>
      </c>
      <c r="G594" s="52">
        <v>7790</v>
      </c>
      <c r="H594" s="52" t="s">
        <v>1027</v>
      </c>
      <c r="I594" s="52" t="s">
        <v>1026</v>
      </c>
      <c r="J594" s="53" t="s">
        <v>1031</v>
      </c>
    </row>
    <row r="595" spans="1:10" x14ac:dyDescent="0.25">
      <c r="A595" s="52" t="s">
        <v>603</v>
      </c>
      <c r="B595" s="53">
        <v>45719</v>
      </c>
      <c r="C595" s="52" t="s">
        <v>1011</v>
      </c>
      <c r="D595" s="52" t="s">
        <v>1021</v>
      </c>
      <c r="E595" s="52">
        <v>473</v>
      </c>
      <c r="F595" s="52">
        <v>195</v>
      </c>
      <c r="G595" s="52">
        <v>92235</v>
      </c>
      <c r="H595" s="52" t="s">
        <v>1027</v>
      </c>
      <c r="I595" s="52" t="s">
        <v>1026</v>
      </c>
      <c r="J595" s="53" t="s">
        <v>1031</v>
      </c>
    </row>
    <row r="596" spans="1:10" x14ac:dyDescent="0.25">
      <c r="A596" s="52" t="s">
        <v>604</v>
      </c>
      <c r="B596" s="53">
        <v>45880</v>
      </c>
      <c r="C596" s="52" t="s">
        <v>1014</v>
      </c>
      <c r="D596" s="52" t="s">
        <v>1016</v>
      </c>
      <c r="E596" s="52">
        <v>498</v>
      </c>
      <c r="F596" s="52">
        <v>249</v>
      </c>
      <c r="G596" s="52">
        <v>124002</v>
      </c>
      <c r="H596" s="52" t="s">
        <v>1027</v>
      </c>
      <c r="I596" s="52" t="s">
        <v>1029</v>
      </c>
      <c r="J596" s="53" t="s">
        <v>1031</v>
      </c>
    </row>
    <row r="597" spans="1:10" x14ac:dyDescent="0.25">
      <c r="A597" s="52" t="s">
        <v>605</v>
      </c>
      <c r="B597" s="53">
        <v>45942</v>
      </c>
      <c r="C597" s="52" t="s">
        <v>1014</v>
      </c>
      <c r="D597" s="52" t="s">
        <v>1024</v>
      </c>
      <c r="E597" s="52">
        <v>234</v>
      </c>
      <c r="F597" s="52">
        <v>859</v>
      </c>
      <c r="G597" s="52">
        <v>201006</v>
      </c>
      <c r="H597" s="52" t="s">
        <v>1025</v>
      </c>
      <c r="I597" s="52" t="s">
        <v>1026</v>
      </c>
      <c r="J597" s="53" t="s">
        <v>1031</v>
      </c>
    </row>
    <row r="598" spans="1:10" x14ac:dyDescent="0.25">
      <c r="A598" s="52" t="s">
        <v>606</v>
      </c>
      <c r="B598" s="53">
        <v>45759</v>
      </c>
      <c r="C598" s="52" t="s">
        <v>1010</v>
      </c>
      <c r="D598" s="52" t="s">
        <v>1020</v>
      </c>
      <c r="E598" s="52">
        <v>324</v>
      </c>
      <c r="F598" s="52">
        <v>386</v>
      </c>
      <c r="G598" s="52">
        <v>125064</v>
      </c>
      <c r="H598" s="52" t="s">
        <v>1030</v>
      </c>
      <c r="I598" s="52" t="s">
        <v>1026</v>
      </c>
      <c r="J598" s="53" t="s">
        <v>1031</v>
      </c>
    </row>
    <row r="599" spans="1:10" x14ac:dyDescent="0.25">
      <c r="A599" s="52" t="s">
        <v>607</v>
      </c>
      <c r="B599" s="53">
        <v>45985</v>
      </c>
      <c r="C599" s="52" t="s">
        <v>1014</v>
      </c>
      <c r="D599" s="52" t="s">
        <v>1024</v>
      </c>
      <c r="E599" s="52">
        <v>70</v>
      </c>
      <c r="F599" s="52">
        <v>1235</v>
      </c>
      <c r="G599" s="52">
        <v>86450</v>
      </c>
      <c r="H599" s="52" t="s">
        <v>1030</v>
      </c>
      <c r="I599" s="52" t="s">
        <v>1026</v>
      </c>
      <c r="J599" s="53" t="s">
        <v>1031</v>
      </c>
    </row>
    <row r="600" spans="1:10" x14ac:dyDescent="0.25">
      <c r="A600" s="52" t="s">
        <v>608</v>
      </c>
      <c r="B600" s="53">
        <v>46028</v>
      </c>
      <c r="C600" s="52" t="s">
        <v>1014</v>
      </c>
      <c r="D600" s="52" t="s">
        <v>1016</v>
      </c>
      <c r="E600" s="52">
        <v>392</v>
      </c>
      <c r="F600" s="52">
        <v>431</v>
      </c>
      <c r="G600" s="52">
        <v>168952</v>
      </c>
      <c r="H600" s="52" t="s">
        <v>1030</v>
      </c>
      <c r="I600" s="52" t="s">
        <v>1028</v>
      </c>
      <c r="J600" s="53">
        <v>46041</v>
      </c>
    </row>
    <row r="601" spans="1:10" x14ac:dyDescent="0.25">
      <c r="A601" s="52" t="s">
        <v>609</v>
      </c>
      <c r="B601" s="53">
        <v>45761</v>
      </c>
      <c r="C601" s="52" t="s">
        <v>1011</v>
      </c>
      <c r="D601" s="52" t="s">
        <v>1016</v>
      </c>
      <c r="E601" s="52">
        <v>343</v>
      </c>
      <c r="F601" s="52">
        <v>733</v>
      </c>
      <c r="G601" s="52">
        <v>251419</v>
      </c>
      <c r="H601" s="52" t="s">
        <v>1027</v>
      </c>
      <c r="I601" s="52" t="s">
        <v>1028</v>
      </c>
      <c r="J601" s="53">
        <v>45766</v>
      </c>
    </row>
    <row r="602" spans="1:10" x14ac:dyDescent="0.25">
      <c r="A602" s="52" t="s">
        <v>610</v>
      </c>
      <c r="B602" s="53">
        <v>45856</v>
      </c>
      <c r="C602" s="52" t="s">
        <v>1013</v>
      </c>
      <c r="D602" s="52" t="s">
        <v>1024</v>
      </c>
      <c r="E602" s="52">
        <v>209</v>
      </c>
      <c r="F602" s="52">
        <v>296</v>
      </c>
      <c r="G602" s="52">
        <v>61864</v>
      </c>
      <c r="H602" s="52" t="s">
        <v>1025</v>
      </c>
      <c r="I602" s="52" t="s">
        <v>1026</v>
      </c>
      <c r="J602" s="53" t="s">
        <v>1031</v>
      </c>
    </row>
    <row r="603" spans="1:10" x14ac:dyDescent="0.25">
      <c r="A603" s="52" t="s">
        <v>611</v>
      </c>
      <c r="B603" s="53">
        <v>45755</v>
      </c>
      <c r="C603" s="52" t="s">
        <v>1013</v>
      </c>
      <c r="D603" s="52" t="s">
        <v>1017</v>
      </c>
      <c r="E603" s="52">
        <v>212</v>
      </c>
      <c r="F603" s="52">
        <v>1562</v>
      </c>
      <c r="G603" s="52">
        <v>331144</v>
      </c>
      <c r="H603" s="52" t="s">
        <v>1027</v>
      </c>
      <c r="I603" s="52" t="s">
        <v>1028</v>
      </c>
      <c r="J603" s="53">
        <v>45766</v>
      </c>
    </row>
    <row r="604" spans="1:10" x14ac:dyDescent="0.25">
      <c r="A604" s="52" t="s">
        <v>612</v>
      </c>
      <c r="B604" s="53">
        <v>45859</v>
      </c>
      <c r="C604" s="52" t="s">
        <v>1012</v>
      </c>
      <c r="D604" s="52" t="s">
        <v>1015</v>
      </c>
      <c r="E604" s="52">
        <v>430</v>
      </c>
      <c r="F604" s="52">
        <v>324</v>
      </c>
      <c r="G604" s="52">
        <v>139320</v>
      </c>
      <c r="H604" s="52" t="s">
        <v>1025</v>
      </c>
      <c r="I604" s="52" t="s">
        <v>1026</v>
      </c>
      <c r="J604" s="53" t="s">
        <v>1031</v>
      </c>
    </row>
    <row r="605" spans="1:10" x14ac:dyDescent="0.25">
      <c r="A605" s="52" t="s">
        <v>613</v>
      </c>
      <c r="B605" s="53">
        <v>45875</v>
      </c>
      <c r="C605" s="52" t="s">
        <v>1013</v>
      </c>
      <c r="D605" s="52" t="s">
        <v>1018</v>
      </c>
      <c r="E605" s="52">
        <v>35</v>
      </c>
      <c r="F605" s="52">
        <v>1907</v>
      </c>
      <c r="G605" s="52">
        <v>66745</v>
      </c>
      <c r="H605" s="52" t="s">
        <v>1025</v>
      </c>
      <c r="I605" s="52" t="s">
        <v>1026</v>
      </c>
      <c r="J605" s="53" t="s">
        <v>1031</v>
      </c>
    </row>
    <row r="606" spans="1:10" x14ac:dyDescent="0.25">
      <c r="A606" s="52" t="s">
        <v>614</v>
      </c>
      <c r="B606" s="53">
        <v>45803</v>
      </c>
      <c r="C606" s="52" t="s">
        <v>1010</v>
      </c>
      <c r="D606" s="52" t="s">
        <v>1016</v>
      </c>
      <c r="E606" s="52">
        <v>489</v>
      </c>
      <c r="F606" s="52">
        <v>219</v>
      </c>
      <c r="G606" s="52">
        <v>107091</v>
      </c>
      <c r="H606" s="52" t="s">
        <v>1030</v>
      </c>
      <c r="I606" s="52" t="s">
        <v>1029</v>
      </c>
      <c r="J606" s="53" t="s">
        <v>1031</v>
      </c>
    </row>
    <row r="607" spans="1:10" x14ac:dyDescent="0.25">
      <c r="A607" s="52" t="s">
        <v>615</v>
      </c>
      <c r="B607" s="53">
        <v>45730</v>
      </c>
      <c r="C607" s="52" t="s">
        <v>1010</v>
      </c>
      <c r="D607" s="52" t="s">
        <v>1016</v>
      </c>
      <c r="E607" s="52">
        <v>455</v>
      </c>
      <c r="F607" s="52">
        <v>1817</v>
      </c>
      <c r="G607" s="52">
        <v>826735</v>
      </c>
      <c r="H607" s="52" t="s">
        <v>1030</v>
      </c>
      <c r="I607" s="52" t="s">
        <v>1029</v>
      </c>
      <c r="J607" s="53" t="s">
        <v>1031</v>
      </c>
    </row>
    <row r="608" spans="1:10" x14ac:dyDescent="0.25">
      <c r="A608" s="52" t="s">
        <v>616</v>
      </c>
      <c r="B608" s="53">
        <v>45804</v>
      </c>
      <c r="C608" s="52" t="s">
        <v>1013</v>
      </c>
      <c r="D608" s="52" t="s">
        <v>1024</v>
      </c>
      <c r="E608" s="52">
        <v>225</v>
      </c>
      <c r="F608" s="52">
        <v>1865</v>
      </c>
      <c r="G608" s="52">
        <v>419625</v>
      </c>
      <c r="H608" s="52" t="s">
        <v>1027</v>
      </c>
      <c r="I608" s="52" t="s">
        <v>1026</v>
      </c>
      <c r="J608" s="53" t="s">
        <v>1031</v>
      </c>
    </row>
    <row r="609" spans="1:10" x14ac:dyDescent="0.25">
      <c r="A609" s="52" t="s">
        <v>617</v>
      </c>
      <c r="B609" s="53">
        <v>45897</v>
      </c>
      <c r="C609" s="52" t="s">
        <v>1011</v>
      </c>
      <c r="D609" s="52" t="s">
        <v>1020</v>
      </c>
      <c r="E609" s="52">
        <v>367</v>
      </c>
      <c r="F609" s="52">
        <v>1723</v>
      </c>
      <c r="G609" s="52">
        <v>632341</v>
      </c>
      <c r="H609" s="52" t="s">
        <v>1030</v>
      </c>
      <c r="I609" s="52" t="s">
        <v>1029</v>
      </c>
      <c r="J609" s="53" t="s">
        <v>1031</v>
      </c>
    </row>
    <row r="610" spans="1:10" x14ac:dyDescent="0.25">
      <c r="A610" s="52" t="s">
        <v>618</v>
      </c>
      <c r="B610" s="53">
        <v>46043</v>
      </c>
      <c r="C610" s="52" t="s">
        <v>1011</v>
      </c>
      <c r="D610" s="52" t="s">
        <v>1016</v>
      </c>
      <c r="E610" s="52">
        <v>47</v>
      </c>
      <c r="F610" s="52">
        <v>1115</v>
      </c>
      <c r="G610" s="52">
        <v>52405</v>
      </c>
      <c r="H610" s="52" t="s">
        <v>1030</v>
      </c>
      <c r="I610" s="52" t="s">
        <v>1026</v>
      </c>
      <c r="J610" s="53" t="s">
        <v>1031</v>
      </c>
    </row>
    <row r="611" spans="1:10" x14ac:dyDescent="0.25">
      <c r="A611" s="52" t="s">
        <v>619</v>
      </c>
      <c r="B611" s="53">
        <v>45975</v>
      </c>
      <c r="C611" s="52" t="s">
        <v>1012</v>
      </c>
      <c r="D611" s="52" t="s">
        <v>1024</v>
      </c>
      <c r="E611" s="52">
        <v>114</v>
      </c>
      <c r="F611" s="52">
        <v>777</v>
      </c>
      <c r="G611" s="52">
        <v>88578</v>
      </c>
      <c r="H611" s="52" t="s">
        <v>1027</v>
      </c>
      <c r="I611" s="52" t="s">
        <v>1028</v>
      </c>
      <c r="J611" s="53">
        <v>45985</v>
      </c>
    </row>
    <row r="612" spans="1:10" x14ac:dyDescent="0.25">
      <c r="A612" s="52" t="s">
        <v>620</v>
      </c>
      <c r="B612" s="53">
        <v>46039</v>
      </c>
      <c r="C612" s="52" t="s">
        <v>1013</v>
      </c>
      <c r="D612" s="52" t="s">
        <v>1024</v>
      </c>
      <c r="E612" s="52">
        <v>218</v>
      </c>
      <c r="F612" s="52">
        <v>82</v>
      </c>
      <c r="G612" s="52">
        <v>17876</v>
      </c>
      <c r="H612" s="52" t="s">
        <v>1025</v>
      </c>
      <c r="I612" s="52" t="s">
        <v>1028</v>
      </c>
      <c r="J612" s="53">
        <v>46053</v>
      </c>
    </row>
    <row r="613" spans="1:10" x14ac:dyDescent="0.25">
      <c r="A613" s="52" t="s">
        <v>621</v>
      </c>
      <c r="B613" s="53">
        <v>45863</v>
      </c>
      <c r="C613" s="52" t="s">
        <v>1014</v>
      </c>
      <c r="D613" s="52" t="s">
        <v>1020</v>
      </c>
      <c r="E613" s="52">
        <v>259</v>
      </c>
      <c r="F613" s="52">
        <v>1572</v>
      </c>
      <c r="G613" s="52">
        <v>407148</v>
      </c>
      <c r="H613" s="52" t="s">
        <v>1025</v>
      </c>
      <c r="I613" s="52" t="s">
        <v>1028</v>
      </c>
      <c r="J613" s="53">
        <v>45872</v>
      </c>
    </row>
    <row r="614" spans="1:10" x14ac:dyDescent="0.25">
      <c r="A614" s="52" t="s">
        <v>622</v>
      </c>
      <c r="B614" s="53">
        <v>45791</v>
      </c>
      <c r="C614" s="52" t="s">
        <v>1013</v>
      </c>
      <c r="D614" s="52" t="s">
        <v>1016</v>
      </c>
      <c r="E614" s="52">
        <v>54</v>
      </c>
      <c r="F614" s="52">
        <v>1286</v>
      </c>
      <c r="G614" s="52">
        <v>69444</v>
      </c>
      <c r="H614" s="52" t="s">
        <v>1027</v>
      </c>
      <c r="I614" s="52" t="s">
        <v>1026</v>
      </c>
      <c r="J614" s="53" t="s">
        <v>1031</v>
      </c>
    </row>
    <row r="615" spans="1:10" x14ac:dyDescent="0.25">
      <c r="A615" s="52" t="s">
        <v>623</v>
      </c>
      <c r="B615" s="53">
        <v>45714</v>
      </c>
      <c r="C615" s="52" t="s">
        <v>1013</v>
      </c>
      <c r="D615" s="52" t="s">
        <v>1015</v>
      </c>
      <c r="E615" s="52">
        <v>201</v>
      </c>
      <c r="F615" s="52">
        <v>1792</v>
      </c>
      <c r="G615" s="52">
        <v>360192</v>
      </c>
      <c r="H615" s="52" t="s">
        <v>1030</v>
      </c>
      <c r="I615" s="52" t="s">
        <v>1029</v>
      </c>
      <c r="J615" s="53" t="s">
        <v>1031</v>
      </c>
    </row>
    <row r="616" spans="1:10" x14ac:dyDescent="0.25">
      <c r="A616" s="52" t="s">
        <v>624</v>
      </c>
      <c r="B616" s="53">
        <v>45795</v>
      </c>
      <c r="C616" s="52" t="s">
        <v>1012</v>
      </c>
      <c r="D616" s="52" t="s">
        <v>1023</v>
      </c>
      <c r="E616" s="52">
        <v>29</v>
      </c>
      <c r="F616" s="52">
        <v>1053</v>
      </c>
      <c r="G616" s="52">
        <v>30537</v>
      </c>
      <c r="H616" s="52" t="s">
        <v>1030</v>
      </c>
      <c r="I616" s="52" t="s">
        <v>1026</v>
      </c>
      <c r="J616" s="53" t="s">
        <v>1031</v>
      </c>
    </row>
    <row r="617" spans="1:10" x14ac:dyDescent="0.25">
      <c r="A617" s="52" t="s">
        <v>625</v>
      </c>
      <c r="B617" s="53">
        <v>45732</v>
      </c>
      <c r="C617" s="52" t="s">
        <v>1013</v>
      </c>
      <c r="D617" s="52" t="s">
        <v>1023</v>
      </c>
      <c r="E617" s="52">
        <v>131</v>
      </c>
      <c r="F617" s="52">
        <v>1513</v>
      </c>
      <c r="G617" s="52">
        <v>198203</v>
      </c>
      <c r="H617" s="52" t="s">
        <v>1027</v>
      </c>
      <c r="I617" s="52" t="s">
        <v>1029</v>
      </c>
      <c r="J617" s="53" t="s">
        <v>1031</v>
      </c>
    </row>
    <row r="618" spans="1:10" x14ac:dyDescent="0.25">
      <c r="A618" s="52" t="s">
        <v>626</v>
      </c>
      <c r="B618" s="53">
        <v>45790</v>
      </c>
      <c r="C618" s="52" t="s">
        <v>1013</v>
      </c>
      <c r="D618" s="52" t="s">
        <v>1022</v>
      </c>
      <c r="E618" s="52">
        <v>484</v>
      </c>
      <c r="F618" s="52">
        <v>1936</v>
      </c>
      <c r="G618" s="52">
        <v>937024</v>
      </c>
      <c r="H618" s="52" t="s">
        <v>1025</v>
      </c>
      <c r="I618" s="52" t="s">
        <v>1028</v>
      </c>
      <c r="J618" s="53">
        <v>45801</v>
      </c>
    </row>
    <row r="619" spans="1:10" x14ac:dyDescent="0.25">
      <c r="A619" s="52" t="s">
        <v>627</v>
      </c>
      <c r="B619" s="53">
        <v>45742</v>
      </c>
      <c r="C619" s="52" t="s">
        <v>1010</v>
      </c>
      <c r="D619" s="52" t="s">
        <v>1022</v>
      </c>
      <c r="E619" s="52">
        <v>150</v>
      </c>
      <c r="F619" s="52">
        <v>850</v>
      </c>
      <c r="G619" s="52">
        <v>127500</v>
      </c>
      <c r="H619" s="52" t="s">
        <v>1030</v>
      </c>
      <c r="I619" s="52" t="s">
        <v>1026</v>
      </c>
      <c r="J619" s="53" t="s">
        <v>1031</v>
      </c>
    </row>
    <row r="620" spans="1:10" x14ac:dyDescent="0.25">
      <c r="A620" s="52" t="s">
        <v>628</v>
      </c>
      <c r="B620" s="53">
        <v>45685</v>
      </c>
      <c r="C620" s="52" t="s">
        <v>1013</v>
      </c>
      <c r="D620" s="52" t="s">
        <v>1022</v>
      </c>
      <c r="E620" s="52">
        <v>157</v>
      </c>
      <c r="F620" s="52">
        <v>292</v>
      </c>
      <c r="G620" s="52">
        <v>45844</v>
      </c>
      <c r="H620" s="52" t="s">
        <v>1027</v>
      </c>
      <c r="I620" s="52" t="s">
        <v>1028</v>
      </c>
      <c r="J620" s="53">
        <v>45694</v>
      </c>
    </row>
    <row r="621" spans="1:10" x14ac:dyDescent="0.25">
      <c r="A621" s="52" t="s">
        <v>629</v>
      </c>
      <c r="B621" s="53">
        <v>45730</v>
      </c>
      <c r="C621" s="52" t="s">
        <v>1011</v>
      </c>
      <c r="D621" s="52" t="s">
        <v>1018</v>
      </c>
      <c r="E621" s="52">
        <v>85</v>
      </c>
      <c r="F621" s="52">
        <v>152</v>
      </c>
      <c r="G621" s="52">
        <v>12920</v>
      </c>
      <c r="H621" s="52" t="s">
        <v>1027</v>
      </c>
      <c r="I621" s="52" t="s">
        <v>1028</v>
      </c>
      <c r="J621" s="53">
        <v>45737</v>
      </c>
    </row>
    <row r="622" spans="1:10" x14ac:dyDescent="0.25">
      <c r="A622" s="52" t="s">
        <v>630</v>
      </c>
      <c r="B622" s="53">
        <v>45952</v>
      </c>
      <c r="C622" s="52" t="s">
        <v>1013</v>
      </c>
      <c r="D622" s="52" t="s">
        <v>1024</v>
      </c>
      <c r="E622" s="52">
        <v>188</v>
      </c>
      <c r="F622" s="52">
        <v>864</v>
      </c>
      <c r="G622" s="52">
        <v>162432</v>
      </c>
      <c r="H622" s="52" t="s">
        <v>1030</v>
      </c>
      <c r="I622" s="52" t="s">
        <v>1028</v>
      </c>
      <c r="J622" s="53">
        <v>45964</v>
      </c>
    </row>
    <row r="623" spans="1:10" x14ac:dyDescent="0.25">
      <c r="A623" s="52" t="s">
        <v>631</v>
      </c>
      <c r="B623" s="53">
        <v>45759</v>
      </c>
      <c r="C623" s="52" t="s">
        <v>1010</v>
      </c>
      <c r="D623" s="52" t="s">
        <v>1016</v>
      </c>
      <c r="E623" s="52">
        <v>49</v>
      </c>
      <c r="F623" s="52">
        <v>1831</v>
      </c>
      <c r="G623" s="52">
        <v>89719</v>
      </c>
      <c r="H623" s="52" t="s">
        <v>1025</v>
      </c>
      <c r="I623" s="52" t="s">
        <v>1026</v>
      </c>
      <c r="J623" s="53" t="s">
        <v>1031</v>
      </c>
    </row>
    <row r="624" spans="1:10" x14ac:dyDescent="0.25">
      <c r="A624" s="52" t="s">
        <v>632</v>
      </c>
      <c r="B624" s="53">
        <v>45749</v>
      </c>
      <c r="C624" s="52" t="s">
        <v>1012</v>
      </c>
      <c r="D624" s="52" t="s">
        <v>1022</v>
      </c>
      <c r="E624" s="52">
        <v>45</v>
      </c>
      <c r="F624" s="52">
        <v>1924</v>
      </c>
      <c r="G624" s="52">
        <v>86580</v>
      </c>
      <c r="H624" s="52" t="s">
        <v>1027</v>
      </c>
      <c r="I624" s="52" t="s">
        <v>1029</v>
      </c>
      <c r="J624" s="53" t="s">
        <v>1031</v>
      </c>
    </row>
    <row r="625" spans="1:10" x14ac:dyDescent="0.25">
      <c r="A625" s="52" t="s">
        <v>633</v>
      </c>
      <c r="B625" s="53">
        <v>45937</v>
      </c>
      <c r="C625" s="52" t="s">
        <v>1014</v>
      </c>
      <c r="D625" s="52" t="s">
        <v>1019</v>
      </c>
      <c r="E625" s="52">
        <v>162</v>
      </c>
      <c r="F625" s="52">
        <v>901</v>
      </c>
      <c r="G625" s="52">
        <v>145962</v>
      </c>
      <c r="H625" s="52" t="s">
        <v>1027</v>
      </c>
      <c r="I625" s="52" t="s">
        <v>1026</v>
      </c>
      <c r="J625" s="53" t="s">
        <v>1031</v>
      </c>
    </row>
    <row r="626" spans="1:10" x14ac:dyDescent="0.25">
      <c r="A626" s="52" t="s">
        <v>634</v>
      </c>
      <c r="B626" s="53">
        <v>45784</v>
      </c>
      <c r="C626" s="52" t="s">
        <v>1010</v>
      </c>
      <c r="D626" s="52" t="s">
        <v>1015</v>
      </c>
      <c r="E626" s="52">
        <v>40</v>
      </c>
      <c r="F626" s="52">
        <v>1373</v>
      </c>
      <c r="G626" s="52">
        <v>54920</v>
      </c>
      <c r="H626" s="52" t="s">
        <v>1027</v>
      </c>
      <c r="I626" s="52" t="s">
        <v>1028</v>
      </c>
      <c r="J626" s="53">
        <v>45793</v>
      </c>
    </row>
    <row r="627" spans="1:10" x14ac:dyDescent="0.25">
      <c r="A627" s="52" t="s">
        <v>635</v>
      </c>
      <c r="B627" s="53">
        <v>45924</v>
      </c>
      <c r="C627" s="52" t="s">
        <v>1010</v>
      </c>
      <c r="D627" s="52" t="s">
        <v>1018</v>
      </c>
      <c r="E627" s="52">
        <v>414</v>
      </c>
      <c r="F627" s="52">
        <v>1310</v>
      </c>
      <c r="G627" s="52">
        <v>542340</v>
      </c>
      <c r="H627" s="52" t="s">
        <v>1027</v>
      </c>
      <c r="I627" s="52" t="s">
        <v>1028</v>
      </c>
      <c r="J627" s="53">
        <v>45934</v>
      </c>
    </row>
    <row r="628" spans="1:10" x14ac:dyDescent="0.25">
      <c r="A628" s="52" t="s">
        <v>636</v>
      </c>
      <c r="B628" s="53">
        <v>45830</v>
      </c>
      <c r="C628" s="52" t="s">
        <v>1010</v>
      </c>
      <c r="D628" s="52" t="s">
        <v>1023</v>
      </c>
      <c r="E628" s="52">
        <v>481</v>
      </c>
      <c r="F628" s="52">
        <v>1924</v>
      </c>
      <c r="G628" s="52">
        <v>925444</v>
      </c>
      <c r="H628" s="52" t="s">
        <v>1025</v>
      </c>
      <c r="I628" s="52" t="s">
        <v>1026</v>
      </c>
      <c r="J628" s="53" t="s">
        <v>1031</v>
      </c>
    </row>
    <row r="629" spans="1:10" x14ac:dyDescent="0.25">
      <c r="A629" s="52" t="s">
        <v>637</v>
      </c>
      <c r="B629" s="53">
        <v>45693</v>
      </c>
      <c r="C629" s="52" t="s">
        <v>1013</v>
      </c>
      <c r="D629" s="52" t="s">
        <v>1023</v>
      </c>
      <c r="E629" s="52">
        <v>45</v>
      </c>
      <c r="F629" s="52">
        <v>385</v>
      </c>
      <c r="G629" s="52">
        <v>17325</v>
      </c>
      <c r="H629" s="52" t="s">
        <v>1025</v>
      </c>
      <c r="I629" s="52" t="s">
        <v>1028</v>
      </c>
      <c r="J629" s="53">
        <v>45708</v>
      </c>
    </row>
    <row r="630" spans="1:10" x14ac:dyDescent="0.25">
      <c r="A630" s="52" t="s">
        <v>638</v>
      </c>
      <c r="B630" s="53">
        <v>45985</v>
      </c>
      <c r="C630" s="52" t="s">
        <v>1013</v>
      </c>
      <c r="D630" s="52" t="s">
        <v>1015</v>
      </c>
      <c r="E630" s="52">
        <v>74</v>
      </c>
      <c r="F630" s="52">
        <v>942</v>
      </c>
      <c r="G630" s="52">
        <v>69708</v>
      </c>
      <c r="H630" s="52" t="s">
        <v>1027</v>
      </c>
      <c r="I630" s="52" t="s">
        <v>1029</v>
      </c>
      <c r="J630" s="53" t="s">
        <v>1031</v>
      </c>
    </row>
    <row r="631" spans="1:10" x14ac:dyDescent="0.25">
      <c r="A631" s="52" t="s">
        <v>639</v>
      </c>
      <c r="B631" s="53">
        <v>45880</v>
      </c>
      <c r="C631" s="52" t="s">
        <v>1011</v>
      </c>
      <c r="D631" s="52" t="s">
        <v>1017</v>
      </c>
      <c r="E631" s="52">
        <v>88</v>
      </c>
      <c r="F631" s="52">
        <v>1141</v>
      </c>
      <c r="G631" s="52">
        <v>100408</v>
      </c>
      <c r="H631" s="52" t="s">
        <v>1025</v>
      </c>
      <c r="I631" s="52" t="s">
        <v>1029</v>
      </c>
      <c r="J631" s="53" t="s">
        <v>1031</v>
      </c>
    </row>
    <row r="632" spans="1:10" x14ac:dyDescent="0.25">
      <c r="A632" s="52" t="s">
        <v>640</v>
      </c>
      <c r="B632" s="53">
        <v>45796</v>
      </c>
      <c r="C632" s="52" t="s">
        <v>1012</v>
      </c>
      <c r="D632" s="52" t="s">
        <v>1024</v>
      </c>
      <c r="E632" s="52">
        <v>123</v>
      </c>
      <c r="F632" s="52">
        <v>414</v>
      </c>
      <c r="G632" s="52">
        <v>50922</v>
      </c>
      <c r="H632" s="52" t="s">
        <v>1027</v>
      </c>
      <c r="I632" s="52" t="s">
        <v>1029</v>
      </c>
      <c r="J632" s="53" t="s">
        <v>1031</v>
      </c>
    </row>
    <row r="633" spans="1:10" x14ac:dyDescent="0.25">
      <c r="A633" s="52" t="s">
        <v>641</v>
      </c>
      <c r="B633" s="53">
        <v>45860</v>
      </c>
      <c r="C633" s="52" t="s">
        <v>1013</v>
      </c>
      <c r="D633" s="52" t="s">
        <v>1018</v>
      </c>
      <c r="E633" s="52">
        <v>53</v>
      </c>
      <c r="F633" s="52">
        <v>1749</v>
      </c>
      <c r="G633" s="52">
        <v>92697</v>
      </c>
      <c r="H633" s="52" t="s">
        <v>1027</v>
      </c>
      <c r="I633" s="52" t="s">
        <v>1026</v>
      </c>
      <c r="J633" s="53" t="s">
        <v>1031</v>
      </c>
    </row>
    <row r="634" spans="1:10" x14ac:dyDescent="0.25">
      <c r="A634" s="52" t="s">
        <v>642</v>
      </c>
      <c r="B634" s="53">
        <v>45744</v>
      </c>
      <c r="C634" s="52" t="s">
        <v>1010</v>
      </c>
      <c r="D634" s="52" t="s">
        <v>1017</v>
      </c>
      <c r="E634" s="52">
        <v>63</v>
      </c>
      <c r="F634" s="52">
        <v>1544</v>
      </c>
      <c r="G634" s="52">
        <v>97272</v>
      </c>
      <c r="H634" s="52" t="s">
        <v>1025</v>
      </c>
      <c r="I634" s="52" t="s">
        <v>1029</v>
      </c>
      <c r="J634" s="53" t="s">
        <v>1031</v>
      </c>
    </row>
    <row r="635" spans="1:10" x14ac:dyDescent="0.25">
      <c r="A635" s="52" t="s">
        <v>643</v>
      </c>
      <c r="B635" s="53">
        <v>45683</v>
      </c>
      <c r="C635" s="52" t="s">
        <v>1010</v>
      </c>
      <c r="D635" s="52" t="s">
        <v>1018</v>
      </c>
      <c r="E635" s="52">
        <v>42</v>
      </c>
      <c r="F635" s="52">
        <v>1751</v>
      </c>
      <c r="G635" s="52">
        <v>73542</v>
      </c>
      <c r="H635" s="52" t="s">
        <v>1027</v>
      </c>
      <c r="I635" s="52" t="s">
        <v>1029</v>
      </c>
      <c r="J635" s="53" t="s">
        <v>1031</v>
      </c>
    </row>
    <row r="636" spans="1:10" x14ac:dyDescent="0.25">
      <c r="A636" s="52" t="s">
        <v>644</v>
      </c>
      <c r="B636" s="53">
        <v>45713</v>
      </c>
      <c r="C636" s="52" t="s">
        <v>1012</v>
      </c>
      <c r="D636" s="52" t="s">
        <v>1016</v>
      </c>
      <c r="E636" s="52">
        <v>415</v>
      </c>
      <c r="F636" s="52">
        <v>1796</v>
      </c>
      <c r="G636" s="52">
        <v>745340</v>
      </c>
      <c r="H636" s="52" t="s">
        <v>1030</v>
      </c>
      <c r="I636" s="52" t="s">
        <v>1026</v>
      </c>
      <c r="J636" s="53" t="s">
        <v>1031</v>
      </c>
    </row>
    <row r="637" spans="1:10" x14ac:dyDescent="0.25">
      <c r="A637" s="52" t="s">
        <v>645</v>
      </c>
      <c r="B637" s="53">
        <v>45885</v>
      </c>
      <c r="C637" s="52" t="s">
        <v>1014</v>
      </c>
      <c r="D637" s="52" t="s">
        <v>1015</v>
      </c>
      <c r="E637" s="52">
        <v>479</v>
      </c>
      <c r="F637" s="52">
        <v>651</v>
      </c>
      <c r="G637" s="52">
        <v>311829</v>
      </c>
      <c r="H637" s="52" t="s">
        <v>1027</v>
      </c>
      <c r="I637" s="52" t="s">
        <v>1026</v>
      </c>
      <c r="J637" s="53" t="s">
        <v>1031</v>
      </c>
    </row>
    <row r="638" spans="1:10" x14ac:dyDescent="0.25">
      <c r="A638" s="52" t="s">
        <v>646</v>
      </c>
      <c r="B638" s="53">
        <v>46023</v>
      </c>
      <c r="C638" s="52" t="s">
        <v>1011</v>
      </c>
      <c r="D638" s="52" t="s">
        <v>1020</v>
      </c>
      <c r="E638" s="52">
        <v>321</v>
      </c>
      <c r="F638" s="52">
        <v>1432</v>
      </c>
      <c r="G638" s="52">
        <v>459672</v>
      </c>
      <c r="H638" s="52" t="s">
        <v>1025</v>
      </c>
      <c r="I638" s="52" t="s">
        <v>1026</v>
      </c>
      <c r="J638" s="53" t="s">
        <v>1031</v>
      </c>
    </row>
    <row r="639" spans="1:10" x14ac:dyDescent="0.25">
      <c r="A639" s="52" t="s">
        <v>647</v>
      </c>
      <c r="B639" s="53">
        <v>45731</v>
      </c>
      <c r="C639" s="52" t="s">
        <v>1014</v>
      </c>
      <c r="D639" s="52" t="s">
        <v>1019</v>
      </c>
      <c r="E639" s="52">
        <v>454</v>
      </c>
      <c r="F639" s="52">
        <v>1913</v>
      </c>
      <c r="G639" s="52">
        <v>868502</v>
      </c>
      <c r="H639" s="52" t="s">
        <v>1030</v>
      </c>
      <c r="I639" s="52" t="s">
        <v>1026</v>
      </c>
      <c r="J639" s="53" t="s">
        <v>1031</v>
      </c>
    </row>
    <row r="640" spans="1:10" x14ac:dyDescent="0.25">
      <c r="A640" s="52" t="s">
        <v>648</v>
      </c>
      <c r="B640" s="53">
        <v>45913</v>
      </c>
      <c r="C640" s="52" t="s">
        <v>1013</v>
      </c>
      <c r="D640" s="52" t="s">
        <v>1022</v>
      </c>
      <c r="E640" s="52">
        <v>500</v>
      </c>
      <c r="F640" s="52">
        <v>744</v>
      </c>
      <c r="G640" s="52">
        <v>372000</v>
      </c>
      <c r="H640" s="52" t="s">
        <v>1027</v>
      </c>
      <c r="I640" s="52" t="s">
        <v>1026</v>
      </c>
      <c r="J640" s="53" t="s">
        <v>1031</v>
      </c>
    </row>
    <row r="641" spans="1:10" x14ac:dyDescent="0.25">
      <c r="A641" s="52" t="s">
        <v>649</v>
      </c>
      <c r="B641" s="53">
        <v>45900</v>
      </c>
      <c r="C641" s="52" t="s">
        <v>1014</v>
      </c>
      <c r="D641" s="52" t="s">
        <v>1020</v>
      </c>
      <c r="E641" s="52">
        <v>172</v>
      </c>
      <c r="F641" s="52">
        <v>670</v>
      </c>
      <c r="G641" s="52">
        <v>115240</v>
      </c>
      <c r="H641" s="52" t="s">
        <v>1030</v>
      </c>
      <c r="I641" s="52" t="s">
        <v>1029</v>
      </c>
      <c r="J641" s="53" t="s">
        <v>1031</v>
      </c>
    </row>
    <row r="642" spans="1:10" x14ac:dyDescent="0.25">
      <c r="A642" s="52" t="s">
        <v>650</v>
      </c>
      <c r="B642" s="53">
        <v>45839</v>
      </c>
      <c r="C642" s="52" t="s">
        <v>1010</v>
      </c>
      <c r="D642" s="52" t="s">
        <v>1020</v>
      </c>
      <c r="E642" s="52">
        <v>184</v>
      </c>
      <c r="F642" s="52">
        <v>1710</v>
      </c>
      <c r="G642" s="52">
        <v>314640</v>
      </c>
      <c r="H642" s="52" t="s">
        <v>1027</v>
      </c>
      <c r="I642" s="52" t="s">
        <v>1029</v>
      </c>
      <c r="J642" s="53" t="s">
        <v>1031</v>
      </c>
    </row>
    <row r="643" spans="1:10" x14ac:dyDescent="0.25">
      <c r="A643" s="52" t="s">
        <v>651</v>
      </c>
      <c r="B643" s="53">
        <v>45838</v>
      </c>
      <c r="C643" s="52" t="s">
        <v>1014</v>
      </c>
      <c r="D643" s="52" t="s">
        <v>1022</v>
      </c>
      <c r="E643" s="52">
        <v>494</v>
      </c>
      <c r="F643" s="52">
        <v>550</v>
      </c>
      <c r="G643" s="52">
        <v>271700</v>
      </c>
      <c r="H643" s="52" t="s">
        <v>1030</v>
      </c>
      <c r="I643" s="52" t="s">
        <v>1029</v>
      </c>
      <c r="J643" s="53" t="s">
        <v>1031</v>
      </c>
    </row>
    <row r="644" spans="1:10" x14ac:dyDescent="0.25">
      <c r="A644" s="52" t="s">
        <v>652</v>
      </c>
      <c r="B644" s="53">
        <v>45877</v>
      </c>
      <c r="C644" s="52" t="s">
        <v>1012</v>
      </c>
      <c r="D644" s="52" t="s">
        <v>1020</v>
      </c>
      <c r="E644" s="52">
        <v>150</v>
      </c>
      <c r="F644" s="52">
        <v>495</v>
      </c>
      <c r="G644" s="52">
        <v>74250</v>
      </c>
      <c r="H644" s="52" t="s">
        <v>1030</v>
      </c>
      <c r="I644" s="52" t="s">
        <v>1028</v>
      </c>
      <c r="J644" s="53">
        <v>45883</v>
      </c>
    </row>
    <row r="645" spans="1:10" x14ac:dyDescent="0.25">
      <c r="A645" s="52" t="s">
        <v>653</v>
      </c>
      <c r="B645" s="53">
        <v>45942</v>
      </c>
      <c r="C645" s="52" t="s">
        <v>1013</v>
      </c>
      <c r="D645" s="52" t="s">
        <v>1015</v>
      </c>
      <c r="E645" s="52">
        <v>207</v>
      </c>
      <c r="F645" s="52">
        <v>1318</v>
      </c>
      <c r="G645" s="52">
        <v>272826</v>
      </c>
      <c r="H645" s="52" t="s">
        <v>1025</v>
      </c>
      <c r="I645" s="52" t="s">
        <v>1029</v>
      </c>
      <c r="J645" s="53" t="s">
        <v>1031</v>
      </c>
    </row>
    <row r="646" spans="1:10" x14ac:dyDescent="0.25">
      <c r="A646" s="52" t="s">
        <v>654</v>
      </c>
      <c r="B646" s="53">
        <v>45659</v>
      </c>
      <c r="C646" s="52" t="s">
        <v>1011</v>
      </c>
      <c r="D646" s="52" t="s">
        <v>1023</v>
      </c>
      <c r="E646" s="52">
        <v>348</v>
      </c>
      <c r="F646" s="52">
        <v>742</v>
      </c>
      <c r="G646" s="52">
        <v>258216</v>
      </c>
      <c r="H646" s="52" t="s">
        <v>1027</v>
      </c>
      <c r="I646" s="52" t="s">
        <v>1028</v>
      </c>
      <c r="J646" s="53">
        <v>45673</v>
      </c>
    </row>
    <row r="647" spans="1:10" x14ac:dyDescent="0.25">
      <c r="A647" s="52" t="s">
        <v>655</v>
      </c>
      <c r="B647" s="53">
        <v>45845</v>
      </c>
      <c r="C647" s="52" t="s">
        <v>1012</v>
      </c>
      <c r="D647" s="52" t="s">
        <v>1018</v>
      </c>
      <c r="E647" s="52">
        <v>101</v>
      </c>
      <c r="F647" s="52">
        <v>1114</v>
      </c>
      <c r="G647" s="52">
        <v>112514</v>
      </c>
      <c r="H647" s="52" t="s">
        <v>1025</v>
      </c>
      <c r="I647" s="52" t="s">
        <v>1026</v>
      </c>
      <c r="J647" s="53" t="s">
        <v>1031</v>
      </c>
    </row>
    <row r="648" spans="1:10" x14ac:dyDescent="0.25">
      <c r="A648" s="52" t="s">
        <v>656</v>
      </c>
      <c r="B648" s="53">
        <v>45775</v>
      </c>
      <c r="C648" s="52" t="s">
        <v>1011</v>
      </c>
      <c r="D648" s="52" t="s">
        <v>1017</v>
      </c>
      <c r="E648" s="52">
        <v>346</v>
      </c>
      <c r="F648" s="52">
        <v>340</v>
      </c>
      <c r="G648" s="52">
        <v>117640</v>
      </c>
      <c r="H648" s="52" t="s">
        <v>1025</v>
      </c>
      <c r="I648" s="52" t="s">
        <v>1028</v>
      </c>
      <c r="J648" s="53">
        <v>45784</v>
      </c>
    </row>
    <row r="649" spans="1:10" x14ac:dyDescent="0.25">
      <c r="A649" s="52" t="s">
        <v>657</v>
      </c>
      <c r="B649" s="53">
        <v>45776</v>
      </c>
      <c r="C649" s="52" t="s">
        <v>1011</v>
      </c>
      <c r="D649" s="52" t="s">
        <v>1019</v>
      </c>
      <c r="E649" s="52">
        <v>44</v>
      </c>
      <c r="F649" s="52">
        <v>388</v>
      </c>
      <c r="G649" s="52">
        <v>17072</v>
      </c>
      <c r="H649" s="52" t="s">
        <v>1030</v>
      </c>
      <c r="I649" s="52" t="s">
        <v>1029</v>
      </c>
      <c r="J649" s="53" t="s">
        <v>1031</v>
      </c>
    </row>
    <row r="650" spans="1:10" x14ac:dyDescent="0.25">
      <c r="A650" s="52" t="s">
        <v>658</v>
      </c>
      <c r="B650" s="53">
        <v>45812</v>
      </c>
      <c r="C650" s="52" t="s">
        <v>1014</v>
      </c>
      <c r="D650" s="52" t="s">
        <v>1015</v>
      </c>
      <c r="E650" s="52">
        <v>203</v>
      </c>
      <c r="F650" s="52">
        <v>1074</v>
      </c>
      <c r="G650" s="52">
        <v>218022</v>
      </c>
      <c r="H650" s="52" t="s">
        <v>1030</v>
      </c>
      <c r="I650" s="52" t="s">
        <v>1029</v>
      </c>
      <c r="J650" s="53" t="s">
        <v>1031</v>
      </c>
    </row>
    <row r="651" spans="1:10" x14ac:dyDescent="0.25">
      <c r="A651" s="52" t="s">
        <v>659</v>
      </c>
      <c r="B651" s="53">
        <v>45902</v>
      </c>
      <c r="C651" s="52" t="s">
        <v>1014</v>
      </c>
      <c r="D651" s="52" t="s">
        <v>1021</v>
      </c>
      <c r="E651" s="52">
        <v>306</v>
      </c>
      <c r="F651" s="52">
        <v>831</v>
      </c>
      <c r="G651" s="52">
        <v>254286</v>
      </c>
      <c r="H651" s="52" t="s">
        <v>1030</v>
      </c>
      <c r="I651" s="52" t="s">
        <v>1028</v>
      </c>
      <c r="J651" s="53">
        <v>45909</v>
      </c>
    </row>
    <row r="652" spans="1:10" x14ac:dyDescent="0.25">
      <c r="A652" s="52" t="s">
        <v>660</v>
      </c>
      <c r="B652" s="53">
        <v>45820</v>
      </c>
      <c r="C652" s="52" t="s">
        <v>1011</v>
      </c>
      <c r="D652" s="52" t="s">
        <v>1024</v>
      </c>
      <c r="E652" s="52">
        <v>405</v>
      </c>
      <c r="F652" s="52">
        <v>1782</v>
      </c>
      <c r="G652" s="52">
        <v>721710</v>
      </c>
      <c r="H652" s="52" t="s">
        <v>1030</v>
      </c>
      <c r="I652" s="52" t="s">
        <v>1029</v>
      </c>
      <c r="J652" s="53" t="s">
        <v>1031</v>
      </c>
    </row>
    <row r="653" spans="1:10" x14ac:dyDescent="0.25">
      <c r="A653" s="52" t="s">
        <v>661</v>
      </c>
      <c r="B653" s="53">
        <v>45749</v>
      </c>
      <c r="C653" s="52" t="s">
        <v>1013</v>
      </c>
      <c r="D653" s="52" t="s">
        <v>1022</v>
      </c>
      <c r="E653" s="52">
        <v>391</v>
      </c>
      <c r="F653" s="52">
        <v>1377</v>
      </c>
      <c r="G653" s="52">
        <v>538407</v>
      </c>
      <c r="H653" s="52" t="s">
        <v>1030</v>
      </c>
      <c r="I653" s="52" t="s">
        <v>1028</v>
      </c>
      <c r="J653" s="53">
        <v>45758</v>
      </c>
    </row>
    <row r="654" spans="1:10" x14ac:dyDescent="0.25">
      <c r="A654" s="52" t="s">
        <v>662</v>
      </c>
      <c r="B654" s="53">
        <v>46018</v>
      </c>
      <c r="C654" s="52" t="s">
        <v>1013</v>
      </c>
      <c r="D654" s="52" t="s">
        <v>1023</v>
      </c>
      <c r="E654" s="52">
        <v>270</v>
      </c>
      <c r="F654" s="52">
        <v>1063</v>
      </c>
      <c r="G654" s="52">
        <v>287010</v>
      </c>
      <c r="H654" s="52" t="s">
        <v>1025</v>
      </c>
      <c r="I654" s="52" t="s">
        <v>1026</v>
      </c>
      <c r="J654" s="53" t="s">
        <v>1031</v>
      </c>
    </row>
    <row r="655" spans="1:10" x14ac:dyDescent="0.25">
      <c r="A655" s="52" t="s">
        <v>663</v>
      </c>
      <c r="B655" s="53">
        <v>45808</v>
      </c>
      <c r="C655" s="52" t="s">
        <v>1010</v>
      </c>
      <c r="D655" s="52" t="s">
        <v>1017</v>
      </c>
      <c r="E655" s="52">
        <v>440</v>
      </c>
      <c r="F655" s="52">
        <v>336</v>
      </c>
      <c r="G655" s="52">
        <v>147840</v>
      </c>
      <c r="H655" s="52" t="s">
        <v>1027</v>
      </c>
      <c r="I655" s="52" t="s">
        <v>1029</v>
      </c>
      <c r="J655" s="53" t="s">
        <v>1031</v>
      </c>
    </row>
    <row r="656" spans="1:10" x14ac:dyDescent="0.25">
      <c r="A656" s="52" t="s">
        <v>664</v>
      </c>
      <c r="B656" s="53">
        <v>45929</v>
      </c>
      <c r="C656" s="52" t="s">
        <v>1011</v>
      </c>
      <c r="D656" s="52" t="s">
        <v>1020</v>
      </c>
      <c r="E656" s="52">
        <v>405</v>
      </c>
      <c r="F656" s="52">
        <v>276</v>
      </c>
      <c r="G656" s="52">
        <v>111780</v>
      </c>
      <c r="H656" s="52" t="s">
        <v>1025</v>
      </c>
      <c r="I656" s="52" t="s">
        <v>1029</v>
      </c>
      <c r="J656" s="53" t="s">
        <v>1031</v>
      </c>
    </row>
    <row r="657" spans="1:10" x14ac:dyDescent="0.25">
      <c r="A657" s="52" t="s">
        <v>665</v>
      </c>
      <c r="B657" s="53">
        <v>45912</v>
      </c>
      <c r="C657" s="52" t="s">
        <v>1013</v>
      </c>
      <c r="D657" s="52" t="s">
        <v>1023</v>
      </c>
      <c r="E657" s="52">
        <v>233</v>
      </c>
      <c r="F657" s="52">
        <v>1693</v>
      </c>
      <c r="G657" s="52">
        <v>394469</v>
      </c>
      <c r="H657" s="52" t="s">
        <v>1030</v>
      </c>
      <c r="I657" s="52" t="s">
        <v>1029</v>
      </c>
      <c r="J657" s="53" t="s">
        <v>1031</v>
      </c>
    </row>
    <row r="658" spans="1:10" x14ac:dyDescent="0.25">
      <c r="A658" s="52" t="s">
        <v>666</v>
      </c>
      <c r="B658" s="53">
        <v>45827</v>
      </c>
      <c r="C658" s="52" t="s">
        <v>1010</v>
      </c>
      <c r="D658" s="52" t="s">
        <v>1024</v>
      </c>
      <c r="E658" s="52">
        <v>79</v>
      </c>
      <c r="F658" s="52">
        <v>510</v>
      </c>
      <c r="G658" s="52">
        <v>40290</v>
      </c>
      <c r="H658" s="52" t="s">
        <v>1030</v>
      </c>
      <c r="I658" s="52" t="s">
        <v>1029</v>
      </c>
      <c r="J658" s="53" t="s">
        <v>1031</v>
      </c>
    </row>
    <row r="659" spans="1:10" x14ac:dyDescent="0.25">
      <c r="A659" s="52" t="s">
        <v>667</v>
      </c>
      <c r="B659" s="53">
        <v>45857</v>
      </c>
      <c r="C659" s="52" t="s">
        <v>1013</v>
      </c>
      <c r="D659" s="52" t="s">
        <v>1017</v>
      </c>
      <c r="E659" s="52">
        <v>139</v>
      </c>
      <c r="F659" s="52">
        <v>700</v>
      </c>
      <c r="G659" s="52">
        <v>97300</v>
      </c>
      <c r="H659" s="52" t="s">
        <v>1027</v>
      </c>
      <c r="I659" s="52" t="s">
        <v>1028</v>
      </c>
      <c r="J659" s="53">
        <v>45866</v>
      </c>
    </row>
    <row r="660" spans="1:10" x14ac:dyDescent="0.25">
      <c r="A660" s="52" t="s">
        <v>668</v>
      </c>
      <c r="B660" s="53">
        <v>45763</v>
      </c>
      <c r="C660" s="52" t="s">
        <v>1014</v>
      </c>
      <c r="D660" s="52" t="s">
        <v>1021</v>
      </c>
      <c r="E660" s="52">
        <v>38</v>
      </c>
      <c r="F660" s="52">
        <v>847</v>
      </c>
      <c r="G660" s="52">
        <v>32186</v>
      </c>
      <c r="H660" s="52" t="s">
        <v>1027</v>
      </c>
      <c r="I660" s="52" t="s">
        <v>1026</v>
      </c>
      <c r="J660" s="53" t="s">
        <v>1031</v>
      </c>
    </row>
    <row r="661" spans="1:10" x14ac:dyDescent="0.25">
      <c r="A661" s="52" t="s">
        <v>669</v>
      </c>
      <c r="B661" s="53">
        <v>45766</v>
      </c>
      <c r="C661" s="52" t="s">
        <v>1011</v>
      </c>
      <c r="D661" s="52" t="s">
        <v>1015</v>
      </c>
      <c r="E661" s="52">
        <v>316</v>
      </c>
      <c r="F661" s="52">
        <v>159</v>
      </c>
      <c r="G661" s="52">
        <v>50244</v>
      </c>
      <c r="H661" s="52" t="s">
        <v>1030</v>
      </c>
      <c r="I661" s="52" t="s">
        <v>1028</v>
      </c>
      <c r="J661" s="53">
        <v>45773</v>
      </c>
    </row>
    <row r="662" spans="1:10" x14ac:dyDescent="0.25">
      <c r="A662" s="52" t="s">
        <v>670</v>
      </c>
      <c r="B662" s="53">
        <v>45869</v>
      </c>
      <c r="C662" s="52" t="s">
        <v>1011</v>
      </c>
      <c r="D662" s="52" t="s">
        <v>1019</v>
      </c>
      <c r="E662" s="52">
        <v>442</v>
      </c>
      <c r="F662" s="52">
        <v>562</v>
      </c>
      <c r="G662" s="52">
        <v>248404</v>
      </c>
      <c r="H662" s="52" t="s">
        <v>1025</v>
      </c>
      <c r="I662" s="52" t="s">
        <v>1029</v>
      </c>
      <c r="J662" s="53" t="s">
        <v>1031</v>
      </c>
    </row>
    <row r="663" spans="1:10" x14ac:dyDescent="0.25">
      <c r="A663" s="52" t="s">
        <v>671</v>
      </c>
      <c r="B663" s="53">
        <v>45882</v>
      </c>
      <c r="C663" s="52" t="s">
        <v>1010</v>
      </c>
      <c r="D663" s="52" t="s">
        <v>1015</v>
      </c>
      <c r="E663" s="52">
        <v>227</v>
      </c>
      <c r="F663" s="52">
        <v>107</v>
      </c>
      <c r="G663" s="52">
        <v>24289</v>
      </c>
      <c r="H663" s="52" t="s">
        <v>1025</v>
      </c>
      <c r="I663" s="52" t="s">
        <v>1026</v>
      </c>
      <c r="J663" s="53" t="s">
        <v>1031</v>
      </c>
    </row>
    <row r="664" spans="1:10" x14ac:dyDescent="0.25">
      <c r="A664" s="52" t="s">
        <v>672</v>
      </c>
      <c r="B664" s="53">
        <v>45918</v>
      </c>
      <c r="C664" s="52" t="s">
        <v>1012</v>
      </c>
      <c r="D664" s="52" t="s">
        <v>1017</v>
      </c>
      <c r="E664" s="52">
        <v>37</v>
      </c>
      <c r="F664" s="52">
        <v>402</v>
      </c>
      <c r="G664" s="52">
        <v>14874</v>
      </c>
      <c r="H664" s="52" t="s">
        <v>1027</v>
      </c>
      <c r="I664" s="52" t="s">
        <v>1029</v>
      </c>
      <c r="J664" s="53" t="s">
        <v>1031</v>
      </c>
    </row>
    <row r="665" spans="1:10" x14ac:dyDescent="0.25">
      <c r="A665" s="52" t="s">
        <v>673</v>
      </c>
      <c r="B665" s="53">
        <v>45727</v>
      </c>
      <c r="C665" s="52" t="s">
        <v>1010</v>
      </c>
      <c r="D665" s="52" t="s">
        <v>1017</v>
      </c>
      <c r="E665" s="52">
        <v>258</v>
      </c>
      <c r="F665" s="52">
        <v>1034</v>
      </c>
      <c r="G665" s="52">
        <v>266772</v>
      </c>
      <c r="H665" s="52" t="s">
        <v>1027</v>
      </c>
      <c r="I665" s="52" t="s">
        <v>1026</v>
      </c>
      <c r="J665" s="53" t="s">
        <v>1031</v>
      </c>
    </row>
    <row r="666" spans="1:10" x14ac:dyDescent="0.25">
      <c r="A666" s="52" t="s">
        <v>674</v>
      </c>
      <c r="B666" s="53">
        <v>45814</v>
      </c>
      <c r="C666" s="52" t="s">
        <v>1010</v>
      </c>
      <c r="D666" s="52" t="s">
        <v>1022</v>
      </c>
      <c r="E666" s="52">
        <v>424</v>
      </c>
      <c r="F666" s="52">
        <v>1897</v>
      </c>
      <c r="G666" s="52">
        <v>804328</v>
      </c>
      <c r="H666" s="52" t="s">
        <v>1030</v>
      </c>
      <c r="I666" s="52" t="s">
        <v>1026</v>
      </c>
      <c r="J666" s="53" t="s">
        <v>1031</v>
      </c>
    </row>
    <row r="667" spans="1:10" x14ac:dyDescent="0.25">
      <c r="A667" s="52" t="s">
        <v>675</v>
      </c>
      <c r="B667" s="53">
        <v>45699</v>
      </c>
      <c r="C667" s="52" t="s">
        <v>1012</v>
      </c>
      <c r="D667" s="52" t="s">
        <v>1018</v>
      </c>
      <c r="E667" s="52">
        <v>150</v>
      </c>
      <c r="F667" s="52">
        <v>657</v>
      </c>
      <c r="G667" s="52">
        <v>98550</v>
      </c>
      <c r="H667" s="52" t="s">
        <v>1025</v>
      </c>
      <c r="I667" s="52" t="s">
        <v>1029</v>
      </c>
      <c r="J667" s="53" t="s">
        <v>1031</v>
      </c>
    </row>
    <row r="668" spans="1:10" x14ac:dyDescent="0.25">
      <c r="A668" s="52" t="s">
        <v>676</v>
      </c>
      <c r="B668" s="53">
        <v>45907</v>
      </c>
      <c r="C668" s="52" t="s">
        <v>1012</v>
      </c>
      <c r="D668" s="52" t="s">
        <v>1021</v>
      </c>
      <c r="E668" s="52">
        <v>258</v>
      </c>
      <c r="F668" s="52">
        <v>1098</v>
      </c>
      <c r="G668" s="52">
        <v>283284</v>
      </c>
      <c r="H668" s="52" t="s">
        <v>1030</v>
      </c>
      <c r="I668" s="52" t="s">
        <v>1026</v>
      </c>
      <c r="J668" s="53" t="s">
        <v>1031</v>
      </c>
    </row>
    <row r="669" spans="1:10" x14ac:dyDescent="0.25">
      <c r="A669" s="52" t="s">
        <v>677</v>
      </c>
      <c r="B669" s="53">
        <v>45828</v>
      </c>
      <c r="C669" s="52" t="s">
        <v>1011</v>
      </c>
      <c r="D669" s="52" t="s">
        <v>1017</v>
      </c>
      <c r="E669" s="52">
        <v>387</v>
      </c>
      <c r="F669" s="52">
        <v>849</v>
      </c>
      <c r="G669" s="52">
        <v>328563</v>
      </c>
      <c r="H669" s="52" t="s">
        <v>1025</v>
      </c>
      <c r="I669" s="52" t="s">
        <v>1029</v>
      </c>
      <c r="J669" s="53" t="s">
        <v>1031</v>
      </c>
    </row>
    <row r="670" spans="1:10" x14ac:dyDescent="0.25">
      <c r="A670" s="52" t="s">
        <v>678</v>
      </c>
      <c r="B670" s="53">
        <v>45836</v>
      </c>
      <c r="C670" s="52" t="s">
        <v>1013</v>
      </c>
      <c r="D670" s="52" t="s">
        <v>1020</v>
      </c>
      <c r="E670" s="52">
        <v>152</v>
      </c>
      <c r="F670" s="52">
        <v>687</v>
      </c>
      <c r="G670" s="52">
        <v>104424</v>
      </c>
      <c r="H670" s="52" t="s">
        <v>1025</v>
      </c>
      <c r="I670" s="52" t="s">
        <v>1029</v>
      </c>
      <c r="J670" s="53" t="s">
        <v>1031</v>
      </c>
    </row>
    <row r="671" spans="1:10" x14ac:dyDescent="0.25">
      <c r="A671" s="52" t="s">
        <v>679</v>
      </c>
      <c r="B671" s="53">
        <v>45692</v>
      </c>
      <c r="C671" s="52" t="s">
        <v>1010</v>
      </c>
      <c r="D671" s="52" t="s">
        <v>1015</v>
      </c>
      <c r="E671" s="52">
        <v>394</v>
      </c>
      <c r="F671" s="52">
        <v>545</v>
      </c>
      <c r="G671" s="52">
        <v>214730</v>
      </c>
      <c r="H671" s="52" t="s">
        <v>1030</v>
      </c>
      <c r="I671" s="52" t="s">
        <v>1026</v>
      </c>
      <c r="J671" s="53" t="s">
        <v>1031</v>
      </c>
    </row>
    <row r="672" spans="1:10" x14ac:dyDescent="0.25">
      <c r="A672" s="52" t="s">
        <v>680</v>
      </c>
      <c r="B672" s="53">
        <v>45872</v>
      </c>
      <c r="C672" s="52" t="s">
        <v>1013</v>
      </c>
      <c r="D672" s="52" t="s">
        <v>1021</v>
      </c>
      <c r="E672" s="52">
        <v>312</v>
      </c>
      <c r="F672" s="52">
        <v>281</v>
      </c>
      <c r="G672" s="52">
        <v>87672</v>
      </c>
      <c r="H672" s="52" t="s">
        <v>1025</v>
      </c>
      <c r="I672" s="52" t="s">
        <v>1029</v>
      </c>
      <c r="J672" s="53" t="s">
        <v>1031</v>
      </c>
    </row>
    <row r="673" spans="1:10" x14ac:dyDescent="0.25">
      <c r="A673" s="52" t="s">
        <v>681</v>
      </c>
      <c r="B673" s="53">
        <v>45792</v>
      </c>
      <c r="C673" s="52" t="s">
        <v>1010</v>
      </c>
      <c r="D673" s="52" t="s">
        <v>1016</v>
      </c>
      <c r="E673" s="52">
        <v>210</v>
      </c>
      <c r="F673" s="52">
        <v>121</v>
      </c>
      <c r="G673" s="52">
        <v>25410</v>
      </c>
      <c r="H673" s="52" t="s">
        <v>1027</v>
      </c>
      <c r="I673" s="52" t="s">
        <v>1026</v>
      </c>
      <c r="J673" s="53" t="s">
        <v>1031</v>
      </c>
    </row>
    <row r="674" spans="1:10" x14ac:dyDescent="0.25">
      <c r="A674" s="52" t="s">
        <v>682</v>
      </c>
      <c r="B674" s="53">
        <v>45736</v>
      </c>
      <c r="C674" s="52" t="s">
        <v>1013</v>
      </c>
      <c r="D674" s="52" t="s">
        <v>1021</v>
      </c>
      <c r="E674" s="52">
        <v>63</v>
      </c>
      <c r="F674" s="52">
        <v>879</v>
      </c>
      <c r="G674" s="52">
        <v>55377</v>
      </c>
      <c r="H674" s="52" t="s">
        <v>1025</v>
      </c>
      <c r="I674" s="52" t="s">
        <v>1028</v>
      </c>
      <c r="J674" s="53">
        <v>45749</v>
      </c>
    </row>
    <row r="675" spans="1:10" x14ac:dyDescent="0.25">
      <c r="A675" s="52" t="s">
        <v>683</v>
      </c>
      <c r="B675" s="53">
        <v>45704</v>
      </c>
      <c r="C675" s="52" t="s">
        <v>1010</v>
      </c>
      <c r="D675" s="52" t="s">
        <v>1018</v>
      </c>
      <c r="E675" s="52">
        <v>110</v>
      </c>
      <c r="F675" s="52">
        <v>478</v>
      </c>
      <c r="G675" s="52">
        <v>52580</v>
      </c>
      <c r="H675" s="52" t="s">
        <v>1030</v>
      </c>
      <c r="I675" s="52" t="s">
        <v>1026</v>
      </c>
      <c r="J675" s="53" t="s">
        <v>1031</v>
      </c>
    </row>
    <row r="676" spans="1:10" x14ac:dyDescent="0.25">
      <c r="A676" s="52" t="s">
        <v>684</v>
      </c>
      <c r="B676" s="53">
        <v>45681</v>
      </c>
      <c r="C676" s="52" t="s">
        <v>1011</v>
      </c>
      <c r="D676" s="52" t="s">
        <v>1017</v>
      </c>
      <c r="E676" s="52">
        <v>445</v>
      </c>
      <c r="F676" s="52">
        <v>1381</v>
      </c>
      <c r="G676" s="52">
        <v>614545</v>
      </c>
      <c r="H676" s="52" t="s">
        <v>1027</v>
      </c>
      <c r="I676" s="52" t="s">
        <v>1029</v>
      </c>
      <c r="J676" s="53" t="s">
        <v>1031</v>
      </c>
    </row>
    <row r="677" spans="1:10" x14ac:dyDescent="0.25">
      <c r="A677" s="52" t="s">
        <v>685</v>
      </c>
      <c r="B677" s="53">
        <v>45982</v>
      </c>
      <c r="C677" s="52" t="s">
        <v>1011</v>
      </c>
      <c r="D677" s="52" t="s">
        <v>1018</v>
      </c>
      <c r="E677" s="52">
        <v>135</v>
      </c>
      <c r="F677" s="52">
        <v>1180</v>
      </c>
      <c r="G677" s="52">
        <v>159300</v>
      </c>
      <c r="H677" s="52" t="s">
        <v>1030</v>
      </c>
      <c r="I677" s="52" t="s">
        <v>1029</v>
      </c>
      <c r="J677" s="53" t="s">
        <v>1031</v>
      </c>
    </row>
    <row r="678" spans="1:10" x14ac:dyDescent="0.25">
      <c r="A678" s="52" t="s">
        <v>686</v>
      </c>
      <c r="B678" s="53">
        <v>45923</v>
      </c>
      <c r="C678" s="52" t="s">
        <v>1014</v>
      </c>
      <c r="D678" s="52" t="s">
        <v>1024</v>
      </c>
      <c r="E678" s="52">
        <v>326</v>
      </c>
      <c r="F678" s="52">
        <v>1759</v>
      </c>
      <c r="G678" s="52">
        <v>573434</v>
      </c>
      <c r="H678" s="52" t="s">
        <v>1030</v>
      </c>
      <c r="I678" s="52" t="s">
        <v>1029</v>
      </c>
      <c r="J678" s="53" t="s">
        <v>1031</v>
      </c>
    </row>
    <row r="679" spans="1:10" x14ac:dyDescent="0.25">
      <c r="A679" s="52" t="s">
        <v>687</v>
      </c>
      <c r="B679" s="53">
        <v>45800</v>
      </c>
      <c r="C679" s="52" t="s">
        <v>1012</v>
      </c>
      <c r="D679" s="52" t="s">
        <v>1016</v>
      </c>
      <c r="E679" s="52">
        <v>3</v>
      </c>
      <c r="F679" s="52">
        <v>1571</v>
      </c>
      <c r="G679" s="52">
        <v>4713</v>
      </c>
      <c r="H679" s="52" t="s">
        <v>1030</v>
      </c>
      <c r="I679" s="52" t="s">
        <v>1029</v>
      </c>
      <c r="J679" s="53" t="s">
        <v>1031</v>
      </c>
    </row>
    <row r="680" spans="1:10" x14ac:dyDescent="0.25">
      <c r="A680" s="52" t="s">
        <v>688</v>
      </c>
      <c r="B680" s="53">
        <v>45931</v>
      </c>
      <c r="C680" s="52" t="s">
        <v>1010</v>
      </c>
      <c r="D680" s="52" t="s">
        <v>1016</v>
      </c>
      <c r="E680" s="52">
        <v>139</v>
      </c>
      <c r="F680" s="52">
        <v>1198</v>
      </c>
      <c r="G680" s="52">
        <v>166522</v>
      </c>
      <c r="H680" s="52" t="s">
        <v>1030</v>
      </c>
      <c r="I680" s="52" t="s">
        <v>1028</v>
      </c>
      <c r="J680" s="53">
        <v>45940</v>
      </c>
    </row>
    <row r="681" spans="1:10" x14ac:dyDescent="0.25">
      <c r="A681" s="52" t="s">
        <v>689</v>
      </c>
      <c r="B681" s="53">
        <v>45660</v>
      </c>
      <c r="C681" s="52" t="s">
        <v>1014</v>
      </c>
      <c r="D681" s="52" t="s">
        <v>1015</v>
      </c>
      <c r="E681" s="52">
        <v>441</v>
      </c>
      <c r="F681" s="52">
        <v>124</v>
      </c>
      <c r="G681" s="52">
        <v>54684</v>
      </c>
      <c r="H681" s="52" t="s">
        <v>1025</v>
      </c>
      <c r="I681" s="52" t="s">
        <v>1026</v>
      </c>
      <c r="J681" s="53" t="s">
        <v>1031</v>
      </c>
    </row>
    <row r="682" spans="1:10" x14ac:dyDescent="0.25">
      <c r="A682" s="52" t="s">
        <v>690</v>
      </c>
      <c r="B682" s="53">
        <v>45895</v>
      </c>
      <c r="C682" s="52" t="s">
        <v>1010</v>
      </c>
      <c r="D682" s="52" t="s">
        <v>1019</v>
      </c>
      <c r="E682" s="52">
        <v>406</v>
      </c>
      <c r="F682" s="52">
        <v>931</v>
      </c>
      <c r="G682" s="52">
        <v>377986</v>
      </c>
      <c r="H682" s="52" t="s">
        <v>1027</v>
      </c>
      <c r="I682" s="52" t="s">
        <v>1026</v>
      </c>
      <c r="J682" s="53" t="s">
        <v>1031</v>
      </c>
    </row>
    <row r="683" spans="1:10" x14ac:dyDescent="0.25">
      <c r="A683" s="52" t="s">
        <v>691</v>
      </c>
      <c r="B683" s="53">
        <v>45684</v>
      </c>
      <c r="C683" s="52" t="s">
        <v>1010</v>
      </c>
      <c r="D683" s="52" t="s">
        <v>1020</v>
      </c>
      <c r="E683" s="52">
        <v>256</v>
      </c>
      <c r="F683" s="52">
        <v>1730</v>
      </c>
      <c r="G683" s="52">
        <v>442880</v>
      </c>
      <c r="H683" s="52" t="s">
        <v>1027</v>
      </c>
      <c r="I683" s="52" t="s">
        <v>1028</v>
      </c>
      <c r="J683" s="53">
        <v>45692</v>
      </c>
    </row>
    <row r="684" spans="1:10" x14ac:dyDescent="0.25">
      <c r="A684" s="52" t="s">
        <v>692</v>
      </c>
      <c r="B684" s="53">
        <v>45906</v>
      </c>
      <c r="C684" s="52" t="s">
        <v>1013</v>
      </c>
      <c r="D684" s="52" t="s">
        <v>1018</v>
      </c>
      <c r="E684" s="52">
        <v>475</v>
      </c>
      <c r="F684" s="52">
        <v>375</v>
      </c>
      <c r="G684" s="52">
        <v>178125</v>
      </c>
      <c r="H684" s="52" t="s">
        <v>1027</v>
      </c>
      <c r="I684" s="52" t="s">
        <v>1026</v>
      </c>
      <c r="J684" s="53" t="s">
        <v>1031</v>
      </c>
    </row>
    <row r="685" spans="1:10" x14ac:dyDescent="0.25">
      <c r="A685" s="52" t="s">
        <v>693</v>
      </c>
      <c r="B685" s="53">
        <v>45688</v>
      </c>
      <c r="C685" s="52" t="s">
        <v>1014</v>
      </c>
      <c r="D685" s="52" t="s">
        <v>1024</v>
      </c>
      <c r="E685" s="52">
        <v>412</v>
      </c>
      <c r="F685" s="52">
        <v>1523</v>
      </c>
      <c r="G685" s="52">
        <v>627476</v>
      </c>
      <c r="H685" s="52" t="s">
        <v>1025</v>
      </c>
      <c r="I685" s="52" t="s">
        <v>1028</v>
      </c>
      <c r="J685" s="53">
        <v>45702</v>
      </c>
    </row>
    <row r="686" spans="1:10" x14ac:dyDescent="0.25">
      <c r="A686" s="52" t="s">
        <v>694</v>
      </c>
      <c r="B686" s="53">
        <v>45706</v>
      </c>
      <c r="C686" s="52" t="s">
        <v>1010</v>
      </c>
      <c r="D686" s="52" t="s">
        <v>1017</v>
      </c>
      <c r="E686" s="52">
        <v>473</v>
      </c>
      <c r="F686" s="52">
        <v>538</v>
      </c>
      <c r="G686" s="52">
        <v>254474</v>
      </c>
      <c r="H686" s="52" t="s">
        <v>1027</v>
      </c>
      <c r="I686" s="52" t="s">
        <v>1026</v>
      </c>
      <c r="J686" s="53" t="s">
        <v>1031</v>
      </c>
    </row>
    <row r="687" spans="1:10" x14ac:dyDescent="0.25">
      <c r="A687" s="52" t="s">
        <v>695</v>
      </c>
      <c r="B687" s="53">
        <v>45944</v>
      </c>
      <c r="C687" s="52" t="s">
        <v>1010</v>
      </c>
      <c r="D687" s="52" t="s">
        <v>1018</v>
      </c>
      <c r="E687" s="52">
        <v>218</v>
      </c>
      <c r="F687" s="52">
        <v>241</v>
      </c>
      <c r="G687" s="52">
        <v>52538</v>
      </c>
      <c r="H687" s="52" t="s">
        <v>1030</v>
      </c>
      <c r="I687" s="52" t="s">
        <v>1028</v>
      </c>
      <c r="J687" s="53">
        <v>45956</v>
      </c>
    </row>
    <row r="688" spans="1:10" x14ac:dyDescent="0.25">
      <c r="A688" s="52" t="s">
        <v>696</v>
      </c>
      <c r="B688" s="53">
        <v>45764</v>
      </c>
      <c r="C688" s="52" t="s">
        <v>1013</v>
      </c>
      <c r="D688" s="52" t="s">
        <v>1019</v>
      </c>
      <c r="E688" s="52">
        <v>174</v>
      </c>
      <c r="F688" s="52">
        <v>874</v>
      </c>
      <c r="G688" s="52">
        <v>152076</v>
      </c>
      <c r="H688" s="52" t="s">
        <v>1027</v>
      </c>
      <c r="I688" s="52" t="s">
        <v>1028</v>
      </c>
      <c r="J688" s="53">
        <v>45773</v>
      </c>
    </row>
    <row r="689" spans="1:10" x14ac:dyDescent="0.25">
      <c r="A689" s="52" t="s">
        <v>697</v>
      </c>
      <c r="B689" s="53">
        <v>45892</v>
      </c>
      <c r="C689" s="52" t="s">
        <v>1013</v>
      </c>
      <c r="D689" s="52" t="s">
        <v>1017</v>
      </c>
      <c r="E689" s="52">
        <v>423</v>
      </c>
      <c r="F689" s="52">
        <v>748</v>
      </c>
      <c r="G689" s="52">
        <v>316404</v>
      </c>
      <c r="H689" s="52" t="s">
        <v>1027</v>
      </c>
      <c r="I689" s="52" t="s">
        <v>1026</v>
      </c>
      <c r="J689" s="53" t="s">
        <v>1031</v>
      </c>
    </row>
    <row r="690" spans="1:10" x14ac:dyDescent="0.25">
      <c r="A690" s="52" t="s">
        <v>698</v>
      </c>
      <c r="B690" s="53">
        <v>45824</v>
      </c>
      <c r="C690" s="52" t="s">
        <v>1011</v>
      </c>
      <c r="D690" s="52" t="s">
        <v>1024</v>
      </c>
      <c r="E690" s="52">
        <v>23</v>
      </c>
      <c r="F690" s="52">
        <v>791</v>
      </c>
      <c r="G690" s="52">
        <v>18193</v>
      </c>
      <c r="H690" s="52" t="s">
        <v>1027</v>
      </c>
      <c r="I690" s="52" t="s">
        <v>1026</v>
      </c>
      <c r="J690" s="53" t="s">
        <v>1031</v>
      </c>
    </row>
    <row r="691" spans="1:10" x14ac:dyDescent="0.25">
      <c r="A691" s="52" t="s">
        <v>699</v>
      </c>
      <c r="B691" s="53">
        <v>45794</v>
      </c>
      <c r="C691" s="52" t="s">
        <v>1010</v>
      </c>
      <c r="D691" s="52" t="s">
        <v>1023</v>
      </c>
      <c r="E691" s="52">
        <v>32</v>
      </c>
      <c r="F691" s="52">
        <v>1620</v>
      </c>
      <c r="G691" s="52">
        <v>51840</v>
      </c>
      <c r="H691" s="52" t="s">
        <v>1025</v>
      </c>
      <c r="I691" s="52" t="s">
        <v>1028</v>
      </c>
      <c r="J691" s="53">
        <v>45804</v>
      </c>
    </row>
    <row r="692" spans="1:10" x14ac:dyDescent="0.25">
      <c r="A692" s="52" t="s">
        <v>700</v>
      </c>
      <c r="B692" s="53">
        <v>45749</v>
      </c>
      <c r="C692" s="52" t="s">
        <v>1014</v>
      </c>
      <c r="D692" s="52" t="s">
        <v>1019</v>
      </c>
      <c r="E692" s="52">
        <v>209</v>
      </c>
      <c r="F692" s="52">
        <v>1612</v>
      </c>
      <c r="G692" s="52">
        <v>336908</v>
      </c>
      <c r="H692" s="52" t="s">
        <v>1027</v>
      </c>
      <c r="I692" s="52" t="s">
        <v>1029</v>
      </c>
      <c r="J692" s="53" t="s">
        <v>1031</v>
      </c>
    </row>
    <row r="693" spans="1:10" x14ac:dyDescent="0.25">
      <c r="A693" s="52" t="s">
        <v>701</v>
      </c>
      <c r="B693" s="53">
        <v>45837</v>
      </c>
      <c r="C693" s="52" t="s">
        <v>1011</v>
      </c>
      <c r="D693" s="52" t="s">
        <v>1023</v>
      </c>
      <c r="E693" s="52">
        <v>233</v>
      </c>
      <c r="F693" s="52">
        <v>1926</v>
      </c>
      <c r="G693" s="52">
        <v>448758</v>
      </c>
      <c r="H693" s="52" t="s">
        <v>1027</v>
      </c>
      <c r="I693" s="52" t="s">
        <v>1026</v>
      </c>
      <c r="J693" s="53" t="s">
        <v>1031</v>
      </c>
    </row>
    <row r="694" spans="1:10" x14ac:dyDescent="0.25">
      <c r="A694" s="52" t="s">
        <v>702</v>
      </c>
      <c r="B694" s="53">
        <v>45876</v>
      </c>
      <c r="C694" s="52" t="s">
        <v>1012</v>
      </c>
      <c r="D694" s="52" t="s">
        <v>1018</v>
      </c>
      <c r="E694" s="52">
        <v>455</v>
      </c>
      <c r="F694" s="52">
        <v>886</v>
      </c>
      <c r="G694" s="52">
        <v>403130</v>
      </c>
      <c r="H694" s="52" t="s">
        <v>1030</v>
      </c>
      <c r="I694" s="52" t="s">
        <v>1028</v>
      </c>
      <c r="J694" s="53">
        <v>45883</v>
      </c>
    </row>
    <row r="695" spans="1:10" x14ac:dyDescent="0.25">
      <c r="A695" s="52" t="s">
        <v>703</v>
      </c>
      <c r="B695" s="53">
        <v>45913</v>
      </c>
      <c r="C695" s="52" t="s">
        <v>1012</v>
      </c>
      <c r="D695" s="52" t="s">
        <v>1019</v>
      </c>
      <c r="E695" s="52">
        <v>312</v>
      </c>
      <c r="F695" s="52">
        <v>1636</v>
      </c>
      <c r="G695" s="52">
        <v>510432</v>
      </c>
      <c r="H695" s="52" t="s">
        <v>1025</v>
      </c>
      <c r="I695" s="52" t="s">
        <v>1026</v>
      </c>
      <c r="J695" s="53" t="s">
        <v>1031</v>
      </c>
    </row>
    <row r="696" spans="1:10" x14ac:dyDescent="0.25">
      <c r="A696" s="52" t="s">
        <v>704</v>
      </c>
      <c r="B696" s="53">
        <v>45928</v>
      </c>
      <c r="C696" s="52" t="s">
        <v>1010</v>
      </c>
      <c r="D696" s="52" t="s">
        <v>1018</v>
      </c>
      <c r="E696" s="52">
        <v>249</v>
      </c>
      <c r="F696" s="52">
        <v>1485</v>
      </c>
      <c r="G696" s="52">
        <v>369765</v>
      </c>
      <c r="H696" s="52" t="s">
        <v>1027</v>
      </c>
      <c r="I696" s="52" t="s">
        <v>1029</v>
      </c>
      <c r="J696" s="53" t="s">
        <v>1031</v>
      </c>
    </row>
    <row r="697" spans="1:10" x14ac:dyDescent="0.25">
      <c r="A697" s="52" t="s">
        <v>705</v>
      </c>
      <c r="B697" s="53">
        <v>45677</v>
      </c>
      <c r="C697" s="52" t="s">
        <v>1013</v>
      </c>
      <c r="D697" s="52" t="s">
        <v>1015</v>
      </c>
      <c r="E697" s="52">
        <v>447</v>
      </c>
      <c r="F697" s="52">
        <v>1034</v>
      </c>
      <c r="G697" s="52">
        <v>462198</v>
      </c>
      <c r="H697" s="52" t="s">
        <v>1030</v>
      </c>
      <c r="I697" s="52" t="s">
        <v>1026</v>
      </c>
      <c r="J697" s="53" t="s">
        <v>1031</v>
      </c>
    </row>
    <row r="698" spans="1:10" x14ac:dyDescent="0.25">
      <c r="A698" s="52" t="s">
        <v>706</v>
      </c>
      <c r="B698" s="53">
        <v>45785</v>
      </c>
      <c r="C698" s="52" t="s">
        <v>1012</v>
      </c>
      <c r="D698" s="52" t="s">
        <v>1017</v>
      </c>
      <c r="E698" s="52">
        <v>97</v>
      </c>
      <c r="F698" s="52">
        <v>458</v>
      </c>
      <c r="G698" s="52">
        <v>44426</v>
      </c>
      <c r="H698" s="52" t="s">
        <v>1030</v>
      </c>
      <c r="I698" s="52" t="s">
        <v>1028</v>
      </c>
      <c r="J698" s="53">
        <v>45798</v>
      </c>
    </row>
    <row r="699" spans="1:10" x14ac:dyDescent="0.25">
      <c r="A699" s="52" t="s">
        <v>707</v>
      </c>
      <c r="B699" s="53">
        <v>45988</v>
      </c>
      <c r="C699" s="52" t="s">
        <v>1010</v>
      </c>
      <c r="D699" s="52" t="s">
        <v>1020</v>
      </c>
      <c r="E699" s="52">
        <v>372</v>
      </c>
      <c r="F699" s="52">
        <v>1679</v>
      </c>
      <c r="G699" s="52">
        <v>624588</v>
      </c>
      <c r="H699" s="52" t="s">
        <v>1027</v>
      </c>
      <c r="I699" s="52" t="s">
        <v>1028</v>
      </c>
      <c r="J699" s="53">
        <v>45997</v>
      </c>
    </row>
    <row r="700" spans="1:10" x14ac:dyDescent="0.25">
      <c r="A700" s="52" t="s">
        <v>708</v>
      </c>
      <c r="B700" s="53">
        <v>45741</v>
      </c>
      <c r="C700" s="52" t="s">
        <v>1010</v>
      </c>
      <c r="D700" s="52" t="s">
        <v>1020</v>
      </c>
      <c r="E700" s="52">
        <v>434</v>
      </c>
      <c r="F700" s="52">
        <v>1436</v>
      </c>
      <c r="G700" s="52">
        <v>623224</v>
      </c>
      <c r="H700" s="52" t="s">
        <v>1025</v>
      </c>
      <c r="I700" s="52" t="s">
        <v>1028</v>
      </c>
      <c r="J700" s="53">
        <v>45747</v>
      </c>
    </row>
    <row r="701" spans="1:10" x14ac:dyDescent="0.25">
      <c r="A701" s="52" t="s">
        <v>709</v>
      </c>
      <c r="B701" s="53">
        <v>45950</v>
      </c>
      <c r="C701" s="52" t="s">
        <v>1010</v>
      </c>
      <c r="D701" s="52" t="s">
        <v>1015</v>
      </c>
      <c r="E701" s="52">
        <v>301</v>
      </c>
      <c r="F701" s="52">
        <v>261</v>
      </c>
      <c r="G701" s="52">
        <v>78561</v>
      </c>
      <c r="H701" s="52" t="s">
        <v>1027</v>
      </c>
      <c r="I701" s="52" t="s">
        <v>1028</v>
      </c>
      <c r="J701" s="53">
        <v>45961</v>
      </c>
    </row>
    <row r="702" spans="1:10" x14ac:dyDescent="0.25">
      <c r="A702" s="52" t="s">
        <v>710</v>
      </c>
      <c r="B702" s="53">
        <v>45875</v>
      </c>
      <c r="C702" s="52" t="s">
        <v>1011</v>
      </c>
      <c r="D702" s="52" t="s">
        <v>1021</v>
      </c>
      <c r="E702" s="52">
        <v>321</v>
      </c>
      <c r="F702" s="52">
        <v>792</v>
      </c>
      <c r="G702" s="52">
        <v>254232</v>
      </c>
      <c r="H702" s="52" t="s">
        <v>1025</v>
      </c>
      <c r="I702" s="52" t="s">
        <v>1026</v>
      </c>
      <c r="J702" s="53" t="s">
        <v>1031</v>
      </c>
    </row>
    <row r="703" spans="1:10" x14ac:dyDescent="0.25">
      <c r="A703" s="52" t="s">
        <v>711</v>
      </c>
      <c r="B703" s="53">
        <v>45734</v>
      </c>
      <c r="C703" s="52" t="s">
        <v>1010</v>
      </c>
      <c r="D703" s="52" t="s">
        <v>1019</v>
      </c>
      <c r="E703" s="52">
        <v>359</v>
      </c>
      <c r="F703" s="52">
        <v>1429</v>
      </c>
      <c r="G703" s="52">
        <v>513011</v>
      </c>
      <c r="H703" s="52" t="s">
        <v>1030</v>
      </c>
      <c r="I703" s="52" t="s">
        <v>1029</v>
      </c>
      <c r="J703" s="53" t="s">
        <v>1031</v>
      </c>
    </row>
    <row r="704" spans="1:10" x14ac:dyDescent="0.25">
      <c r="A704" s="52" t="s">
        <v>712</v>
      </c>
      <c r="B704" s="53">
        <v>45754</v>
      </c>
      <c r="C704" s="52" t="s">
        <v>1013</v>
      </c>
      <c r="D704" s="52" t="s">
        <v>1015</v>
      </c>
      <c r="E704" s="52">
        <v>235</v>
      </c>
      <c r="F704" s="52">
        <v>1827</v>
      </c>
      <c r="G704" s="52">
        <v>429345</v>
      </c>
      <c r="H704" s="52" t="s">
        <v>1027</v>
      </c>
      <c r="I704" s="52" t="s">
        <v>1028</v>
      </c>
      <c r="J704" s="53">
        <v>45760</v>
      </c>
    </row>
    <row r="705" spans="1:10" x14ac:dyDescent="0.25">
      <c r="A705" s="52" t="s">
        <v>713</v>
      </c>
      <c r="B705" s="53">
        <v>45743</v>
      </c>
      <c r="C705" s="52" t="s">
        <v>1013</v>
      </c>
      <c r="D705" s="52" t="s">
        <v>1023</v>
      </c>
      <c r="E705" s="52">
        <v>309</v>
      </c>
      <c r="F705" s="52">
        <v>1609</v>
      </c>
      <c r="G705" s="52">
        <v>497181</v>
      </c>
      <c r="H705" s="52" t="s">
        <v>1025</v>
      </c>
      <c r="I705" s="52" t="s">
        <v>1028</v>
      </c>
      <c r="J705" s="53">
        <v>45752</v>
      </c>
    </row>
    <row r="706" spans="1:10" x14ac:dyDescent="0.25">
      <c r="A706" s="52" t="s">
        <v>714</v>
      </c>
      <c r="B706" s="53">
        <v>45956</v>
      </c>
      <c r="C706" s="52" t="s">
        <v>1011</v>
      </c>
      <c r="D706" s="52" t="s">
        <v>1017</v>
      </c>
      <c r="E706" s="52">
        <v>165</v>
      </c>
      <c r="F706" s="52">
        <v>878</v>
      </c>
      <c r="G706" s="52">
        <v>144870</v>
      </c>
      <c r="H706" s="52" t="s">
        <v>1025</v>
      </c>
      <c r="I706" s="52" t="s">
        <v>1026</v>
      </c>
      <c r="J706" s="53" t="s">
        <v>1031</v>
      </c>
    </row>
    <row r="707" spans="1:10" x14ac:dyDescent="0.25">
      <c r="A707" s="52" t="s">
        <v>715</v>
      </c>
      <c r="B707" s="53">
        <v>45801</v>
      </c>
      <c r="C707" s="52" t="s">
        <v>1012</v>
      </c>
      <c r="D707" s="52" t="s">
        <v>1021</v>
      </c>
      <c r="E707" s="52">
        <v>234</v>
      </c>
      <c r="F707" s="52">
        <v>868</v>
      </c>
      <c r="G707" s="52">
        <v>203112</v>
      </c>
      <c r="H707" s="52" t="s">
        <v>1027</v>
      </c>
      <c r="I707" s="52" t="s">
        <v>1026</v>
      </c>
      <c r="J707" s="53" t="s">
        <v>1031</v>
      </c>
    </row>
    <row r="708" spans="1:10" x14ac:dyDescent="0.25">
      <c r="A708" s="52" t="s">
        <v>716</v>
      </c>
      <c r="B708" s="53">
        <v>45942</v>
      </c>
      <c r="C708" s="52" t="s">
        <v>1011</v>
      </c>
      <c r="D708" s="52" t="s">
        <v>1022</v>
      </c>
      <c r="E708" s="52">
        <v>361</v>
      </c>
      <c r="F708" s="52">
        <v>565</v>
      </c>
      <c r="G708" s="52">
        <v>203965</v>
      </c>
      <c r="H708" s="52" t="s">
        <v>1025</v>
      </c>
      <c r="I708" s="52" t="s">
        <v>1028</v>
      </c>
      <c r="J708" s="53">
        <v>45956</v>
      </c>
    </row>
    <row r="709" spans="1:10" x14ac:dyDescent="0.25">
      <c r="A709" s="52" t="s">
        <v>717</v>
      </c>
      <c r="B709" s="53">
        <v>45775</v>
      </c>
      <c r="C709" s="52" t="s">
        <v>1013</v>
      </c>
      <c r="D709" s="52" t="s">
        <v>1016</v>
      </c>
      <c r="E709" s="52">
        <v>455</v>
      </c>
      <c r="F709" s="52">
        <v>1994</v>
      </c>
      <c r="G709" s="52">
        <v>907270</v>
      </c>
      <c r="H709" s="52" t="s">
        <v>1025</v>
      </c>
      <c r="I709" s="52" t="s">
        <v>1028</v>
      </c>
      <c r="J709" s="53">
        <v>45788</v>
      </c>
    </row>
    <row r="710" spans="1:10" x14ac:dyDescent="0.25">
      <c r="A710" s="52" t="s">
        <v>718</v>
      </c>
      <c r="B710" s="53">
        <v>45988</v>
      </c>
      <c r="C710" s="52" t="s">
        <v>1014</v>
      </c>
      <c r="D710" s="52" t="s">
        <v>1015</v>
      </c>
      <c r="E710" s="52">
        <v>299</v>
      </c>
      <c r="F710" s="52">
        <v>1298</v>
      </c>
      <c r="G710" s="52">
        <v>388102</v>
      </c>
      <c r="H710" s="52" t="s">
        <v>1025</v>
      </c>
      <c r="I710" s="52" t="s">
        <v>1029</v>
      </c>
      <c r="J710" s="53" t="s">
        <v>1031</v>
      </c>
    </row>
    <row r="711" spans="1:10" x14ac:dyDescent="0.25">
      <c r="A711" s="52" t="s">
        <v>719</v>
      </c>
      <c r="B711" s="53">
        <v>45768</v>
      </c>
      <c r="C711" s="52" t="s">
        <v>1014</v>
      </c>
      <c r="D711" s="52" t="s">
        <v>1019</v>
      </c>
      <c r="E711" s="52">
        <v>481</v>
      </c>
      <c r="F711" s="52">
        <v>202</v>
      </c>
      <c r="G711" s="52">
        <v>97162</v>
      </c>
      <c r="H711" s="52" t="s">
        <v>1025</v>
      </c>
      <c r="I711" s="52" t="s">
        <v>1028</v>
      </c>
      <c r="J711" s="53">
        <v>45778</v>
      </c>
    </row>
    <row r="712" spans="1:10" x14ac:dyDescent="0.25">
      <c r="A712" s="52" t="s">
        <v>720</v>
      </c>
      <c r="B712" s="53">
        <v>45907</v>
      </c>
      <c r="C712" s="52" t="s">
        <v>1014</v>
      </c>
      <c r="D712" s="52" t="s">
        <v>1020</v>
      </c>
      <c r="E712" s="52">
        <v>495</v>
      </c>
      <c r="F712" s="52">
        <v>1467</v>
      </c>
      <c r="G712" s="52">
        <v>726165</v>
      </c>
      <c r="H712" s="52" t="s">
        <v>1027</v>
      </c>
      <c r="I712" s="52" t="s">
        <v>1029</v>
      </c>
      <c r="J712" s="53" t="s">
        <v>1031</v>
      </c>
    </row>
    <row r="713" spans="1:10" x14ac:dyDescent="0.25">
      <c r="A713" s="52" t="s">
        <v>721</v>
      </c>
      <c r="B713" s="53">
        <v>45716</v>
      </c>
      <c r="C713" s="52" t="s">
        <v>1014</v>
      </c>
      <c r="D713" s="52" t="s">
        <v>1018</v>
      </c>
      <c r="E713" s="52">
        <v>188</v>
      </c>
      <c r="F713" s="52">
        <v>1080</v>
      </c>
      <c r="G713" s="52">
        <v>203040</v>
      </c>
      <c r="H713" s="52" t="s">
        <v>1030</v>
      </c>
      <c r="I713" s="52" t="s">
        <v>1026</v>
      </c>
      <c r="J713" s="53" t="s">
        <v>1031</v>
      </c>
    </row>
    <row r="714" spans="1:10" x14ac:dyDescent="0.25">
      <c r="A714" s="52" t="s">
        <v>722</v>
      </c>
      <c r="B714" s="53">
        <v>45803</v>
      </c>
      <c r="C714" s="52" t="s">
        <v>1014</v>
      </c>
      <c r="D714" s="52" t="s">
        <v>1018</v>
      </c>
      <c r="E714" s="52">
        <v>148</v>
      </c>
      <c r="F714" s="52">
        <v>1321</v>
      </c>
      <c r="G714" s="52">
        <v>195508</v>
      </c>
      <c r="H714" s="52" t="s">
        <v>1025</v>
      </c>
      <c r="I714" s="52" t="s">
        <v>1029</v>
      </c>
      <c r="J714" s="53" t="s">
        <v>1031</v>
      </c>
    </row>
    <row r="715" spans="1:10" x14ac:dyDescent="0.25">
      <c r="A715" s="52" t="s">
        <v>723</v>
      </c>
      <c r="B715" s="53">
        <v>45906</v>
      </c>
      <c r="C715" s="52" t="s">
        <v>1014</v>
      </c>
      <c r="D715" s="52" t="s">
        <v>1017</v>
      </c>
      <c r="E715" s="52">
        <v>44</v>
      </c>
      <c r="F715" s="52">
        <v>37</v>
      </c>
      <c r="G715" s="52">
        <v>1628</v>
      </c>
      <c r="H715" s="52" t="s">
        <v>1030</v>
      </c>
      <c r="I715" s="52" t="s">
        <v>1029</v>
      </c>
      <c r="J715" s="53" t="s">
        <v>1031</v>
      </c>
    </row>
    <row r="716" spans="1:10" x14ac:dyDescent="0.25">
      <c r="A716" s="52" t="s">
        <v>724</v>
      </c>
      <c r="B716" s="53">
        <v>45851</v>
      </c>
      <c r="C716" s="52" t="s">
        <v>1010</v>
      </c>
      <c r="D716" s="52" t="s">
        <v>1017</v>
      </c>
      <c r="E716" s="52">
        <v>365</v>
      </c>
      <c r="F716" s="52">
        <v>352</v>
      </c>
      <c r="G716" s="52">
        <v>128480</v>
      </c>
      <c r="H716" s="52" t="s">
        <v>1025</v>
      </c>
      <c r="I716" s="52" t="s">
        <v>1029</v>
      </c>
      <c r="J716" s="53" t="s">
        <v>1031</v>
      </c>
    </row>
    <row r="717" spans="1:10" x14ac:dyDescent="0.25">
      <c r="A717" s="52" t="s">
        <v>725</v>
      </c>
      <c r="B717" s="53">
        <v>46003</v>
      </c>
      <c r="C717" s="52" t="s">
        <v>1014</v>
      </c>
      <c r="D717" s="52" t="s">
        <v>1016</v>
      </c>
      <c r="E717" s="52">
        <v>65</v>
      </c>
      <c r="F717" s="52">
        <v>654</v>
      </c>
      <c r="G717" s="52">
        <v>42510</v>
      </c>
      <c r="H717" s="52" t="s">
        <v>1025</v>
      </c>
      <c r="I717" s="52" t="s">
        <v>1029</v>
      </c>
      <c r="J717" s="53" t="s">
        <v>1031</v>
      </c>
    </row>
    <row r="718" spans="1:10" x14ac:dyDescent="0.25">
      <c r="A718" s="52" t="s">
        <v>726</v>
      </c>
      <c r="B718" s="53">
        <v>45929</v>
      </c>
      <c r="C718" s="52" t="s">
        <v>1010</v>
      </c>
      <c r="D718" s="52" t="s">
        <v>1018</v>
      </c>
      <c r="E718" s="52">
        <v>333</v>
      </c>
      <c r="F718" s="52">
        <v>885</v>
      </c>
      <c r="G718" s="52">
        <v>294705</v>
      </c>
      <c r="H718" s="52" t="s">
        <v>1030</v>
      </c>
      <c r="I718" s="52" t="s">
        <v>1029</v>
      </c>
      <c r="J718" s="53" t="s">
        <v>1031</v>
      </c>
    </row>
    <row r="719" spans="1:10" x14ac:dyDescent="0.25">
      <c r="A719" s="52" t="s">
        <v>727</v>
      </c>
      <c r="B719" s="53">
        <v>45910</v>
      </c>
      <c r="C719" s="52" t="s">
        <v>1014</v>
      </c>
      <c r="D719" s="52" t="s">
        <v>1015</v>
      </c>
      <c r="E719" s="52">
        <v>443</v>
      </c>
      <c r="F719" s="52">
        <v>1260</v>
      </c>
      <c r="G719" s="52">
        <v>558180</v>
      </c>
      <c r="H719" s="52" t="s">
        <v>1030</v>
      </c>
      <c r="I719" s="52" t="s">
        <v>1026</v>
      </c>
      <c r="J719" s="53" t="s">
        <v>1031</v>
      </c>
    </row>
    <row r="720" spans="1:10" x14ac:dyDescent="0.25">
      <c r="A720" s="52" t="s">
        <v>728</v>
      </c>
      <c r="B720" s="53">
        <v>46020</v>
      </c>
      <c r="C720" s="52" t="s">
        <v>1014</v>
      </c>
      <c r="D720" s="52" t="s">
        <v>1020</v>
      </c>
      <c r="E720" s="52">
        <v>126</v>
      </c>
      <c r="F720" s="52">
        <v>1990</v>
      </c>
      <c r="G720" s="52">
        <v>250740</v>
      </c>
      <c r="H720" s="52" t="s">
        <v>1030</v>
      </c>
      <c r="I720" s="52" t="s">
        <v>1028</v>
      </c>
      <c r="J720" s="53">
        <v>46030</v>
      </c>
    </row>
    <row r="721" spans="1:10" x14ac:dyDescent="0.25">
      <c r="A721" s="52" t="s">
        <v>729</v>
      </c>
      <c r="B721" s="53">
        <v>45683</v>
      </c>
      <c r="C721" s="52" t="s">
        <v>1012</v>
      </c>
      <c r="D721" s="52" t="s">
        <v>1022</v>
      </c>
      <c r="E721" s="52">
        <v>436</v>
      </c>
      <c r="F721" s="52">
        <v>498</v>
      </c>
      <c r="G721" s="52">
        <v>217128</v>
      </c>
      <c r="H721" s="52" t="s">
        <v>1030</v>
      </c>
      <c r="I721" s="52" t="s">
        <v>1029</v>
      </c>
      <c r="J721" s="53" t="s">
        <v>1031</v>
      </c>
    </row>
    <row r="722" spans="1:10" x14ac:dyDescent="0.25">
      <c r="A722" s="52" t="s">
        <v>730</v>
      </c>
      <c r="B722" s="53">
        <v>45807</v>
      </c>
      <c r="C722" s="52" t="s">
        <v>1010</v>
      </c>
      <c r="D722" s="52" t="s">
        <v>1020</v>
      </c>
      <c r="E722" s="52">
        <v>62</v>
      </c>
      <c r="F722" s="52">
        <v>173</v>
      </c>
      <c r="G722" s="52">
        <v>10726</v>
      </c>
      <c r="H722" s="52" t="s">
        <v>1025</v>
      </c>
      <c r="I722" s="52" t="s">
        <v>1029</v>
      </c>
      <c r="J722" s="53" t="s">
        <v>1031</v>
      </c>
    </row>
    <row r="723" spans="1:10" x14ac:dyDescent="0.25">
      <c r="A723" s="52" t="s">
        <v>731</v>
      </c>
      <c r="B723" s="53">
        <v>45992</v>
      </c>
      <c r="C723" s="52" t="s">
        <v>1010</v>
      </c>
      <c r="D723" s="52" t="s">
        <v>1019</v>
      </c>
      <c r="E723" s="52">
        <v>350</v>
      </c>
      <c r="F723" s="52">
        <v>920</v>
      </c>
      <c r="G723" s="52">
        <v>322000</v>
      </c>
      <c r="H723" s="52" t="s">
        <v>1027</v>
      </c>
      <c r="I723" s="52" t="s">
        <v>1026</v>
      </c>
      <c r="J723" s="53" t="s">
        <v>1031</v>
      </c>
    </row>
    <row r="724" spans="1:10" x14ac:dyDescent="0.25">
      <c r="A724" s="52" t="s">
        <v>732</v>
      </c>
      <c r="B724" s="53">
        <v>46001</v>
      </c>
      <c r="C724" s="52" t="s">
        <v>1012</v>
      </c>
      <c r="D724" s="52" t="s">
        <v>1015</v>
      </c>
      <c r="E724" s="52">
        <v>437</v>
      </c>
      <c r="F724" s="52">
        <v>807</v>
      </c>
      <c r="G724" s="52">
        <v>352659</v>
      </c>
      <c r="H724" s="52" t="s">
        <v>1030</v>
      </c>
      <c r="I724" s="52" t="s">
        <v>1029</v>
      </c>
      <c r="J724" s="53" t="s">
        <v>1031</v>
      </c>
    </row>
    <row r="725" spans="1:10" x14ac:dyDescent="0.25">
      <c r="A725" s="52" t="s">
        <v>733</v>
      </c>
      <c r="B725" s="53">
        <v>45988</v>
      </c>
      <c r="C725" s="52" t="s">
        <v>1014</v>
      </c>
      <c r="D725" s="52" t="s">
        <v>1023</v>
      </c>
      <c r="E725" s="52">
        <v>160</v>
      </c>
      <c r="F725" s="52">
        <v>167</v>
      </c>
      <c r="G725" s="52">
        <v>26720</v>
      </c>
      <c r="H725" s="52" t="s">
        <v>1030</v>
      </c>
      <c r="I725" s="52" t="s">
        <v>1026</v>
      </c>
      <c r="J725" s="53" t="s">
        <v>1031</v>
      </c>
    </row>
    <row r="726" spans="1:10" x14ac:dyDescent="0.25">
      <c r="A726" s="52" t="s">
        <v>734</v>
      </c>
      <c r="B726" s="53">
        <v>45733</v>
      </c>
      <c r="C726" s="52" t="s">
        <v>1013</v>
      </c>
      <c r="D726" s="52" t="s">
        <v>1022</v>
      </c>
      <c r="E726" s="52">
        <v>276</v>
      </c>
      <c r="F726" s="52">
        <v>460</v>
      </c>
      <c r="G726" s="52">
        <v>126960</v>
      </c>
      <c r="H726" s="52" t="s">
        <v>1027</v>
      </c>
      <c r="I726" s="52" t="s">
        <v>1028</v>
      </c>
      <c r="J726" s="53">
        <v>45744</v>
      </c>
    </row>
    <row r="727" spans="1:10" x14ac:dyDescent="0.25">
      <c r="A727" s="52" t="s">
        <v>735</v>
      </c>
      <c r="B727" s="53">
        <v>45881</v>
      </c>
      <c r="C727" s="52" t="s">
        <v>1012</v>
      </c>
      <c r="D727" s="52" t="s">
        <v>1022</v>
      </c>
      <c r="E727" s="52">
        <v>364</v>
      </c>
      <c r="F727" s="52">
        <v>1706</v>
      </c>
      <c r="G727" s="52">
        <v>620984</v>
      </c>
      <c r="H727" s="52" t="s">
        <v>1025</v>
      </c>
      <c r="I727" s="52" t="s">
        <v>1028</v>
      </c>
      <c r="J727" s="53">
        <v>45893</v>
      </c>
    </row>
    <row r="728" spans="1:10" x14ac:dyDescent="0.25">
      <c r="A728" s="52" t="s">
        <v>736</v>
      </c>
      <c r="B728" s="53">
        <v>45910</v>
      </c>
      <c r="C728" s="52" t="s">
        <v>1010</v>
      </c>
      <c r="D728" s="52" t="s">
        <v>1023</v>
      </c>
      <c r="E728" s="52">
        <v>193</v>
      </c>
      <c r="F728" s="52">
        <v>1648</v>
      </c>
      <c r="G728" s="52">
        <v>318064</v>
      </c>
      <c r="H728" s="52" t="s">
        <v>1025</v>
      </c>
      <c r="I728" s="52" t="s">
        <v>1028</v>
      </c>
      <c r="J728" s="53">
        <v>45924</v>
      </c>
    </row>
    <row r="729" spans="1:10" x14ac:dyDescent="0.25">
      <c r="A729" s="52" t="s">
        <v>737</v>
      </c>
      <c r="B729" s="53">
        <v>45899</v>
      </c>
      <c r="C729" s="52" t="s">
        <v>1011</v>
      </c>
      <c r="D729" s="52" t="s">
        <v>1020</v>
      </c>
      <c r="E729" s="52">
        <v>244</v>
      </c>
      <c r="F729" s="52">
        <v>701</v>
      </c>
      <c r="G729" s="52">
        <v>171044</v>
      </c>
      <c r="H729" s="52" t="s">
        <v>1025</v>
      </c>
      <c r="I729" s="52" t="s">
        <v>1028</v>
      </c>
      <c r="J729" s="53">
        <v>45906</v>
      </c>
    </row>
    <row r="730" spans="1:10" x14ac:dyDescent="0.25">
      <c r="A730" s="52" t="s">
        <v>738</v>
      </c>
      <c r="B730" s="53">
        <v>45859</v>
      </c>
      <c r="C730" s="52" t="s">
        <v>1011</v>
      </c>
      <c r="D730" s="52" t="s">
        <v>1024</v>
      </c>
      <c r="E730" s="52">
        <v>33</v>
      </c>
      <c r="F730" s="52">
        <v>1272</v>
      </c>
      <c r="G730" s="52">
        <v>41976</v>
      </c>
      <c r="H730" s="52" t="s">
        <v>1030</v>
      </c>
      <c r="I730" s="52" t="s">
        <v>1029</v>
      </c>
      <c r="J730" s="53" t="s">
        <v>1031</v>
      </c>
    </row>
    <row r="731" spans="1:10" x14ac:dyDescent="0.25">
      <c r="A731" s="52" t="s">
        <v>739</v>
      </c>
      <c r="B731" s="53">
        <v>45696</v>
      </c>
      <c r="C731" s="52" t="s">
        <v>1014</v>
      </c>
      <c r="D731" s="52" t="s">
        <v>1023</v>
      </c>
      <c r="E731" s="52">
        <v>377</v>
      </c>
      <c r="F731" s="52">
        <v>1246</v>
      </c>
      <c r="G731" s="52">
        <v>469742</v>
      </c>
      <c r="H731" s="52" t="s">
        <v>1027</v>
      </c>
      <c r="I731" s="52" t="s">
        <v>1028</v>
      </c>
      <c r="J731" s="53">
        <v>45701</v>
      </c>
    </row>
    <row r="732" spans="1:10" x14ac:dyDescent="0.25">
      <c r="A732" s="52" t="s">
        <v>740</v>
      </c>
      <c r="B732" s="53">
        <v>45727</v>
      </c>
      <c r="C732" s="52" t="s">
        <v>1012</v>
      </c>
      <c r="D732" s="52" t="s">
        <v>1018</v>
      </c>
      <c r="E732" s="52">
        <v>194</v>
      </c>
      <c r="F732" s="52">
        <v>1167</v>
      </c>
      <c r="G732" s="52">
        <v>226398</v>
      </c>
      <c r="H732" s="52" t="s">
        <v>1027</v>
      </c>
      <c r="I732" s="52" t="s">
        <v>1028</v>
      </c>
      <c r="J732" s="53">
        <v>45737</v>
      </c>
    </row>
    <row r="733" spans="1:10" x14ac:dyDescent="0.25">
      <c r="A733" s="52" t="s">
        <v>741</v>
      </c>
      <c r="B733" s="53">
        <v>45843</v>
      </c>
      <c r="C733" s="52" t="s">
        <v>1014</v>
      </c>
      <c r="D733" s="52" t="s">
        <v>1016</v>
      </c>
      <c r="E733" s="52">
        <v>224</v>
      </c>
      <c r="F733" s="52">
        <v>758</v>
      </c>
      <c r="G733" s="52">
        <v>169792</v>
      </c>
      <c r="H733" s="52" t="s">
        <v>1025</v>
      </c>
      <c r="I733" s="52" t="s">
        <v>1028</v>
      </c>
      <c r="J733" s="53">
        <v>45849</v>
      </c>
    </row>
    <row r="734" spans="1:10" x14ac:dyDescent="0.25">
      <c r="A734" s="52" t="s">
        <v>742</v>
      </c>
      <c r="B734" s="53">
        <v>45997</v>
      </c>
      <c r="C734" s="52" t="s">
        <v>1011</v>
      </c>
      <c r="D734" s="52" t="s">
        <v>1024</v>
      </c>
      <c r="E734" s="52">
        <v>144</v>
      </c>
      <c r="F734" s="52">
        <v>1120</v>
      </c>
      <c r="G734" s="52">
        <v>161280</v>
      </c>
      <c r="H734" s="52" t="s">
        <v>1027</v>
      </c>
      <c r="I734" s="52" t="s">
        <v>1026</v>
      </c>
      <c r="J734" s="53" t="s">
        <v>1031</v>
      </c>
    </row>
    <row r="735" spans="1:10" x14ac:dyDescent="0.25">
      <c r="A735" s="52" t="s">
        <v>743</v>
      </c>
      <c r="B735" s="53">
        <v>45864</v>
      </c>
      <c r="C735" s="52" t="s">
        <v>1013</v>
      </c>
      <c r="D735" s="52" t="s">
        <v>1018</v>
      </c>
      <c r="E735" s="52">
        <v>394</v>
      </c>
      <c r="F735" s="52">
        <v>821</v>
      </c>
      <c r="G735" s="52">
        <v>323474</v>
      </c>
      <c r="H735" s="52" t="s">
        <v>1030</v>
      </c>
      <c r="I735" s="52" t="s">
        <v>1028</v>
      </c>
      <c r="J735" s="53">
        <v>45876</v>
      </c>
    </row>
    <row r="736" spans="1:10" x14ac:dyDescent="0.25">
      <c r="A736" s="52" t="s">
        <v>744</v>
      </c>
      <c r="B736" s="53">
        <v>45749</v>
      </c>
      <c r="C736" s="52" t="s">
        <v>1011</v>
      </c>
      <c r="D736" s="52" t="s">
        <v>1021</v>
      </c>
      <c r="E736" s="52">
        <v>309</v>
      </c>
      <c r="F736" s="52">
        <v>408</v>
      </c>
      <c r="G736" s="52">
        <v>126072</v>
      </c>
      <c r="H736" s="52" t="s">
        <v>1030</v>
      </c>
      <c r="I736" s="52" t="s">
        <v>1028</v>
      </c>
      <c r="J736" s="53">
        <v>45763</v>
      </c>
    </row>
    <row r="737" spans="1:10" x14ac:dyDescent="0.25">
      <c r="A737" s="52" t="s">
        <v>745</v>
      </c>
      <c r="B737" s="53">
        <v>45860</v>
      </c>
      <c r="C737" s="52" t="s">
        <v>1012</v>
      </c>
      <c r="D737" s="52" t="s">
        <v>1015</v>
      </c>
      <c r="E737" s="52">
        <v>450</v>
      </c>
      <c r="F737" s="52">
        <v>170</v>
      </c>
      <c r="G737" s="52">
        <v>76500</v>
      </c>
      <c r="H737" s="52" t="s">
        <v>1025</v>
      </c>
      <c r="I737" s="52" t="s">
        <v>1026</v>
      </c>
      <c r="J737" s="53" t="s">
        <v>1031</v>
      </c>
    </row>
    <row r="738" spans="1:10" x14ac:dyDescent="0.25">
      <c r="A738" s="52" t="s">
        <v>746</v>
      </c>
      <c r="B738" s="53">
        <v>45788</v>
      </c>
      <c r="C738" s="52" t="s">
        <v>1011</v>
      </c>
      <c r="D738" s="52" t="s">
        <v>1022</v>
      </c>
      <c r="E738" s="52">
        <v>167</v>
      </c>
      <c r="F738" s="52">
        <v>1380</v>
      </c>
      <c r="G738" s="52">
        <v>230460</v>
      </c>
      <c r="H738" s="52" t="s">
        <v>1030</v>
      </c>
      <c r="I738" s="52" t="s">
        <v>1028</v>
      </c>
      <c r="J738" s="53">
        <v>45803</v>
      </c>
    </row>
    <row r="739" spans="1:10" x14ac:dyDescent="0.25">
      <c r="A739" s="52" t="s">
        <v>747</v>
      </c>
      <c r="B739" s="53">
        <v>45868</v>
      </c>
      <c r="C739" s="52" t="s">
        <v>1011</v>
      </c>
      <c r="D739" s="52" t="s">
        <v>1021</v>
      </c>
      <c r="E739" s="52">
        <v>267</v>
      </c>
      <c r="F739" s="52">
        <v>79</v>
      </c>
      <c r="G739" s="52">
        <v>21093</v>
      </c>
      <c r="H739" s="52" t="s">
        <v>1030</v>
      </c>
      <c r="I739" s="52" t="s">
        <v>1028</v>
      </c>
      <c r="J739" s="53">
        <v>45883</v>
      </c>
    </row>
    <row r="740" spans="1:10" x14ac:dyDescent="0.25">
      <c r="A740" s="52" t="s">
        <v>748</v>
      </c>
      <c r="B740" s="53">
        <v>45906</v>
      </c>
      <c r="C740" s="52" t="s">
        <v>1010</v>
      </c>
      <c r="D740" s="52" t="s">
        <v>1022</v>
      </c>
      <c r="E740" s="52">
        <v>361</v>
      </c>
      <c r="F740" s="52">
        <v>28</v>
      </c>
      <c r="G740" s="52">
        <v>10108</v>
      </c>
      <c r="H740" s="52" t="s">
        <v>1027</v>
      </c>
      <c r="I740" s="52" t="s">
        <v>1029</v>
      </c>
      <c r="J740" s="53" t="s">
        <v>1031</v>
      </c>
    </row>
    <row r="741" spans="1:10" x14ac:dyDescent="0.25">
      <c r="A741" s="52" t="s">
        <v>749</v>
      </c>
      <c r="B741" s="53">
        <v>45999</v>
      </c>
      <c r="C741" s="52" t="s">
        <v>1010</v>
      </c>
      <c r="D741" s="52" t="s">
        <v>1015</v>
      </c>
      <c r="E741" s="52">
        <v>325</v>
      </c>
      <c r="F741" s="52">
        <v>1232</v>
      </c>
      <c r="G741" s="52">
        <v>400400</v>
      </c>
      <c r="H741" s="52" t="s">
        <v>1030</v>
      </c>
      <c r="I741" s="52" t="s">
        <v>1026</v>
      </c>
      <c r="J741" s="53" t="s">
        <v>1031</v>
      </c>
    </row>
    <row r="742" spans="1:10" x14ac:dyDescent="0.25">
      <c r="A742" s="52" t="s">
        <v>750</v>
      </c>
      <c r="B742" s="53">
        <v>45977</v>
      </c>
      <c r="C742" s="52" t="s">
        <v>1010</v>
      </c>
      <c r="D742" s="52" t="s">
        <v>1022</v>
      </c>
      <c r="E742" s="52">
        <v>277</v>
      </c>
      <c r="F742" s="52">
        <v>1262</v>
      </c>
      <c r="G742" s="52">
        <v>349574</v>
      </c>
      <c r="H742" s="52" t="s">
        <v>1030</v>
      </c>
      <c r="I742" s="52" t="s">
        <v>1029</v>
      </c>
      <c r="J742" s="53" t="s">
        <v>1031</v>
      </c>
    </row>
    <row r="743" spans="1:10" x14ac:dyDescent="0.25">
      <c r="A743" s="52" t="s">
        <v>751</v>
      </c>
      <c r="B743" s="53">
        <v>45832</v>
      </c>
      <c r="C743" s="52" t="s">
        <v>1014</v>
      </c>
      <c r="D743" s="52" t="s">
        <v>1022</v>
      </c>
      <c r="E743" s="52">
        <v>155</v>
      </c>
      <c r="F743" s="52">
        <v>1563</v>
      </c>
      <c r="G743" s="52">
        <v>242265</v>
      </c>
      <c r="H743" s="52" t="s">
        <v>1025</v>
      </c>
      <c r="I743" s="52" t="s">
        <v>1026</v>
      </c>
      <c r="J743" s="53" t="s">
        <v>1031</v>
      </c>
    </row>
    <row r="744" spans="1:10" x14ac:dyDescent="0.25">
      <c r="A744" s="52" t="s">
        <v>752</v>
      </c>
      <c r="B744" s="53">
        <v>46028</v>
      </c>
      <c r="C744" s="52" t="s">
        <v>1011</v>
      </c>
      <c r="D744" s="52" t="s">
        <v>1020</v>
      </c>
      <c r="E744" s="52">
        <v>46</v>
      </c>
      <c r="F744" s="52">
        <v>343</v>
      </c>
      <c r="G744" s="52">
        <v>15778</v>
      </c>
      <c r="H744" s="52" t="s">
        <v>1025</v>
      </c>
      <c r="I744" s="52" t="s">
        <v>1029</v>
      </c>
      <c r="J744" s="53" t="s">
        <v>1031</v>
      </c>
    </row>
    <row r="745" spans="1:10" x14ac:dyDescent="0.25">
      <c r="A745" s="52" t="s">
        <v>753</v>
      </c>
      <c r="B745" s="53">
        <v>45840</v>
      </c>
      <c r="C745" s="52" t="s">
        <v>1011</v>
      </c>
      <c r="D745" s="52" t="s">
        <v>1015</v>
      </c>
      <c r="E745" s="52">
        <v>309</v>
      </c>
      <c r="F745" s="52">
        <v>1912</v>
      </c>
      <c r="G745" s="52">
        <v>590808</v>
      </c>
      <c r="H745" s="52" t="s">
        <v>1025</v>
      </c>
      <c r="I745" s="52" t="s">
        <v>1029</v>
      </c>
      <c r="J745" s="53" t="s">
        <v>1031</v>
      </c>
    </row>
    <row r="746" spans="1:10" x14ac:dyDescent="0.25">
      <c r="A746" s="52" t="s">
        <v>754</v>
      </c>
      <c r="B746" s="53">
        <v>45960</v>
      </c>
      <c r="C746" s="52" t="s">
        <v>1014</v>
      </c>
      <c r="D746" s="52" t="s">
        <v>1020</v>
      </c>
      <c r="E746" s="52">
        <v>313</v>
      </c>
      <c r="F746" s="52">
        <v>1137</v>
      </c>
      <c r="G746" s="52">
        <v>355881</v>
      </c>
      <c r="H746" s="52" t="s">
        <v>1025</v>
      </c>
      <c r="I746" s="52" t="s">
        <v>1028</v>
      </c>
      <c r="J746" s="53">
        <v>45967</v>
      </c>
    </row>
    <row r="747" spans="1:10" x14ac:dyDescent="0.25">
      <c r="A747" s="52" t="s">
        <v>755</v>
      </c>
      <c r="B747" s="53">
        <v>45929</v>
      </c>
      <c r="C747" s="52" t="s">
        <v>1012</v>
      </c>
      <c r="D747" s="52" t="s">
        <v>1021</v>
      </c>
      <c r="E747" s="52">
        <v>156</v>
      </c>
      <c r="F747" s="52">
        <v>769</v>
      </c>
      <c r="G747" s="52">
        <v>119964</v>
      </c>
      <c r="H747" s="52" t="s">
        <v>1030</v>
      </c>
      <c r="I747" s="52" t="s">
        <v>1028</v>
      </c>
      <c r="J747" s="53">
        <v>45943</v>
      </c>
    </row>
    <row r="748" spans="1:10" x14ac:dyDescent="0.25">
      <c r="A748" s="52" t="s">
        <v>756</v>
      </c>
      <c r="B748" s="53">
        <v>45969</v>
      </c>
      <c r="C748" s="52" t="s">
        <v>1011</v>
      </c>
      <c r="D748" s="52" t="s">
        <v>1023</v>
      </c>
      <c r="E748" s="52">
        <v>330</v>
      </c>
      <c r="F748" s="52">
        <v>568</v>
      </c>
      <c r="G748" s="52">
        <v>187440</v>
      </c>
      <c r="H748" s="52" t="s">
        <v>1027</v>
      </c>
      <c r="I748" s="52" t="s">
        <v>1026</v>
      </c>
      <c r="J748" s="53" t="s">
        <v>1031</v>
      </c>
    </row>
    <row r="749" spans="1:10" x14ac:dyDescent="0.25">
      <c r="A749" s="52" t="s">
        <v>757</v>
      </c>
      <c r="B749" s="53">
        <v>46046</v>
      </c>
      <c r="C749" s="52" t="s">
        <v>1012</v>
      </c>
      <c r="D749" s="52" t="s">
        <v>1024</v>
      </c>
      <c r="E749" s="52">
        <v>124</v>
      </c>
      <c r="F749" s="52">
        <v>1301</v>
      </c>
      <c r="G749" s="52">
        <v>161324</v>
      </c>
      <c r="H749" s="52" t="s">
        <v>1030</v>
      </c>
      <c r="I749" s="52" t="s">
        <v>1026</v>
      </c>
      <c r="J749" s="53" t="s">
        <v>1031</v>
      </c>
    </row>
    <row r="750" spans="1:10" x14ac:dyDescent="0.25">
      <c r="A750" s="52" t="s">
        <v>758</v>
      </c>
      <c r="B750" s="53">
        <v>45979</v>
      </c>
      <c r="C750" s="52" t="s">
        <v>1012</v>
      </c>
      <c r="D750" s="52" t="s">
        <v>1017</v>
      </c>
      <c r="E750" s="52">
        <v>414</v>
      </c>
      <c r="F750" s="52">
        <v>1166</v>
      </c>
      <c r="G750" s="52">
        <v>482724</v>
      </c>
      <c r="H750" s="52" t="s">
        <v>1030</v>
      </c>
      <c r="I750" s="52" t="s">
        <v>1028</v>
      </c>
      <c r="J750" s="53">
        <v>45993</v>
      </c>
    </row>
    <row r="751" spans="1:10" x14ac:dyDescent="0.25">
      <c r="A751" s="52" t="s">
        <v>759</v>
      </c>
      <c r="B751" s="53">
        <v>45704</v>
      </c>
      <c r="C751" s="52" t="s">
        <v>1010</v>
      </c>
      <c r="D751" s="52" t="s">
        <v>1019</v>
      </c>
      <c r="E751" s="52">
        <v>235</v>
      </c>
      <c r="F751" s="52">
        <v>741</v>
      </c>
      <c r="G751" s="52">
        <v>174135</v>
      </c>
      <c r="H751" s="52" t="s">
        <v>1030</v>
      </c>
      <c r="I751" s="52" t="s">
        <v>1026</v>
      </c>
      <c r="J751" s="53" t="s">
        <v>1031</v>
      </c>
    </row>
    <row r="752" spans="1:10" x14ac:dyDescent="0.25">
      <c r="A752" s="52" t="s">
        <v>760</v>
      </c>
      <c r="B752" s="53">
        <v>45790</v>
      </c>
      <c r="C752" s="52" t="s">
        <v>1011</v>
      </c>
      <c r="D752" s="52" t="s">
        <v>1024</v>
      </c>
      <c r="E752" s="52">
        <v>427</v>
      </c>
      <c r="F752" s="52">
        <v>1817</v>
      </c>
      <c r="G752" s="52">
        <v>775859</v>
      </c>
      <c r="H752" s="52" t="s">
        <v>1025</v>
      </c>
      <c r="I752" s="52" t="s">
        <v>1028</v>
      </c>
      <c r="J752" s="53">
        <v>45798</v>
      </c>
    </row>
    <row r="753" spans="1:10" x14ac:dyDescent="0.25">
      <c r="A753" s="52" t="s">
        <v>761</v>
      </c>
      <c r="B753" s="53">
        <v>45678</v>
      </c>
      <c r="C753" s="52" t="s">
        <v>1011</v>
      </c>
      <c r="D753" s="52" t="s">
        <v>1018</v>
      </c>
      <c r="E753" s="52">
        <v>287</v>
      </c>
      <c r="F753" s="52">
        <v>1675</v>
      </c>
      <c r="G753" s="52">
        <v>480725</v>
      </c>
      <c r="H753" s="52" t="s">
        <v>1027</v>
      </c>
      <c r="I753" s="52" t="s">
        <v>1026</v>
      </c>
      <c r="J753" s="53" t="s">
        <v>1031</v>
      </c>
    </row>
    <row r="754" spans="1:10" x14ac:dyDescent="0.25">
      <c r="A754" s="52" t="s">
        <v>762</v>
      </c>
      <c r="B754" s="53">
        <v>45662</v>
      </c>
      <c r="C754" s="52" t="s">
        <v>1013</v>
      </c>
      <c r="D754" s="52" t="s">
        <v>1017</v>
      </c>
      <c r="E754" s="52">
        <v>335</v>
      </c>
      <c r="F754" s="52">
        <v>1828</v>
      </c>
      <c r="G754" s="52">
        <v>612380</v>
      </c>
      <c r="H754" s="52" t="s">
        <v>1025</v>
      </c>
      <c r="I754" s="52" t="s">
        <v>1028</v>
      </c>
      <c r="J754" s="53">
        <v>45670</v>
      </c>
    </row>
    <row r="755" spans="1:10" x14ac:dyDescent="0.25">
      <c r="A755" s="52" t="s">
        <v>763</v>
      </c>
      <c r="B755" s="53">
        <v>45678</v>
      </c>
      <c r="C755" s="52" t="s">
        <v>1011</v>
      </c>
      <c r="D755" s="52" t="s">
        <v>1024</v>
      </c>
      <c r="E755" s="52">
        <v>402</v>
      </c>
      <c r="F755" s="52">
        <v>408</v>
      </c>
      <c r="G755" s="52">
        <v>164016</v>
      </c>
      <c r="H755" s="52" t="s">
        <v>1025</v>
      </c>
      <c r="I755" s="52" t="s">
        <v>1028</v>
      </c>
      <c r="J755" s="53">
        <v>45691</v>
      </c>
    </row>
    <row r="756" spans="1:10" x14ac:dyDescent="0.25">
      <c r="A756" s="52" t="s">
        <v>764</v>
      </c>
      <c r="B756" s="53">
        <v>45866</v>
      </c>
      <c r="C756" s="52" t="s">
        <v>1014</v>
      </c>
      <c r="D756" s="52" t="s">
        <v>1015</v>
      </c>
      <c r="E756" s="52">
        <v>67</v>
      </c>
      <c r="F756" s="52">
        <v>1960</v>
      </c>
      <c r="G756" s="52">
        <v>131320</v>
      </c>
      <c r="H756" s="52" t="s">
        <v>1030</v>
      </c>
      <c r="I756" s="52" t="s">
        <v>1028</v>
      </c>
      <c r="J756" s="53">
        <v>45871</v>
      </c>
    </row>
    <row r="757" spans="1:10" x14ac:dyDescent="0.25">
      <c r="A757" s="52" t="s">
        <v>765</v>
      </c>
      <c r="B757" s="53">
        <v>46018</v>
      </c>
      <c r="C757" s="52" t="s">
        <v>1014</v>
      </c>
      <c r="D757" s="52" t="s">
        <v>1020</v>
      </c>
      <c r="E757" s="52">
        <v>31</v>
      </c>
      <c r="F757" s="52">
        <v>1123</v>
      </c>
      <c r="G757" s="52">
        <v>34813</v>
      </c>
      <c r="H757" s="52" t="s">
        <v>1030</v>
      </c>
      <c r="I757" s="52" t="s">
        <v>1029</v>
      </c>
      <c r="J757" s="53" t="s">
        <v>1031</v>
      </c>
    </row>
    <row r="758" spans="1:10" x14ac:dyDescent="0.25">
      <c r="A758" s="52" t="s">
        <v>766</v>
      </c>
      <c r="B758" s="53">
        <v>45774</v>
      </c>
      <c r="C758" s="52" t="s">
        <v>1013</v>
      </c>
      <c r="D758" s="52" t="s">
        <v>1017</v>
      </c>
      <c r="E758" s="52">
        <v>421</v>
      </c>
      <c r="F758" s="52">
        <v>185</v>
      </c>
      <c r="G758" s="52">
        <v>77885</v>
      </c>
      <c r="H758" s="52" t="s">
        <v>1027</v>
      </c>
      <c r="I758" s="52" t="s">
        <v>1026</v>
      </c>
      <c r="J758" s="53" t="s">
        <v>1031</v>
      </c>
    </row>
    <row r="759" spans="1:10" x14ac:dyDescent="0.25">
      <c r="A759" s="52" t="s">
        <v>767</v>
      </c>
      <c r="B759" s="53">
        <v>45923</v>
      </c>
      <c r="C759" s="52" t="s">
        <v>1014</v>
      </c>
      <c r="D759" s="52" t="s">
        <v>1022</v>
      </c>
      <c r="E759" s="52">
        <v>337</v>
      </c>
      <c r="F759" s="52">
        <v>10</v>
      </c>
      <c r="G759" s="52">
        <v>3370</v>
      </c>
      <c r="H759" s="52" t="s">
        <v>1027</v>
      </c>
      <c r="I759" s="52" t="s">
        <v>1029</v>
      </c>
      <c r="J759" s="53" t="s">
        <v>1031</v>
      </c>
    </row>
    <row r="760" spans="1:10" x14ac:dyDescent="0.25">
      <c r="A760" s="52" t="s">
        <v>768</v>
      </c>
      <c r="B760" s="53">
        <v>45998</v>
      </c>
      <c r="C760" s="52" t="s">
        <v>1010</v>
      </c>
      <c r="D760" s="52" t="s">
        <v>1021</v>
      </c>
      <c r="E760" s="52">
        <v>31</v>
      </c>
      <c r="F760" s="52">
        <v>1788</v>
      </c>
      <c r="G760" s="52">
        <v>55428</v>
      </c>
      <c r="H760" s="52" t="s">
        <v>1025</v>
      </c>
      <c r="I760" s="52" t="s">
        <v>1028</v>
      </c>
      <c r="J760" s="53">
        <v>46008</v>
      </c>
    </row>
    <row r="761" spans="1:10" x14ac:dyDescent="0.25">
      <c r="A761" s="52" t="s">
        <v>769</v>
      </c>
      <c r="B761" s="53">
        <v>46026</v>
      </c>
      <c r="C761" s="52" t="s">
        <v>1014</v>
      </c>
      <c r="D761" s="52" t="s">
        <v>1022</v>
      </c>
      <c r="E761" s="52">
        <v>39</v>
      </c>
      <c r="F761" s="52">
        <v>287</v>
      </c>
      <c r="G761" s="52">
        <v>11193</v>
      </c>
      <c r="H761" s="52" t="s">
        <v>1025</v>
      </c>
      <c r="I761" s="52" t="s">
        <v>1028</v>
      </c>
      <c r="J761" s="53">
        <v>46039</v>
      </c>
    </row>
    <row r="762" spans="1:10" x14ac:dyDescent="0.25">
      <c r="A762" s="52" t="s">
        <v>770</v>
      </c>
      <c r="B762" s="53">
        <v>45910</v>
      </c>
      <c r="C762" s="52" t="s">
        <v>1013</v>
      </c>
      <c r="D762" s="52" t="s">
        <v>1020</v>
      </c>
      <c r="E762" s="52">
        <v>26</v>
      </c>
      <c r="F762" s="52">
        <v>913</v>
      </c>
      <c r="G762" s="52">
        <v>23738</v>
      </c>
      <c r="H762" s="52" t="s">
        <v>1025</v>
      </c>
      <c r="I762" s="52" t="s">
        <v>1028</v>
      </c>
      <c r="J762" s="53">
        <v>45915</v>
      </c>
    </row>
    <row r="763" spans="1:10" x14ac:dyDescent="0.25">
      <c r="A763" s="52" t="s">
        <v>771</v>
      </c>
      <c r="B763" s="53">
        <v>45897</v>
      </c>
      <c r="C763" s="52" t="s">
        <v>1012</v>
      </c>
      <c r="D763" s="52" t="s">
        <v>1022</v>
      </c>
      <c r="E763" s="52">
        <v>34</v>
      </c>
      <c r="F763" s="52">
        <v>1956</v>
      </c>
      <c r="G763" s="52">
        <v>66504</v>
      </c>
      <c r="H763" s="52" t="s">
        <v>1025</v>
      </c>
      <c r="I763" s="52" t="s">
        <v>1028</v>
      </c>
      <c r="J763" s="53">
        <v>45906</v>
      </c>
    </row>
    <row r="764" spans="1:10" x14ac:dyDescent="0.25">
      <c r="A764" s="52" t="s">
        <v>772</v>
      </c>
      <c r="B764" s="53">
        <v>45795</v>
      </c>
      <c r="C764" s="52" t="s">
        <v>1010</v>
      </c>
      <c r="D764" s="52" t="s">
        <v>1021</v>
      </c>
      <c r="E764" s="52">
        <v>194</v>
      </c>
      <c r="F764" s="52">
        <v>1220</v>
      </c>
      <c r="G764" s="52">
        <v>236680</v>
      </c>
      <c r="H764" s="52" t="s">
        <v>1025</v>
      </c>
      <c r="I764" s="52" t="s">
        <v>1028</v>
      </c>
      <c r="J764" s="53">
        <v>45807</v>
      </c>
    </row>
    <row r="765" spans="1:10" x14ac:dyDescent="0.25">
      <c r="A765" s="52" t="s">
        <v>773</v>
      </c>
      <c r="B765" s="53">
        <v>46038</v>
      </c>
      <c r="C765" s="52" t="s">
        <v>1011</v>
      </c>
      <c r="D765" s="52" t="s">
        <v>1015</v>
      </c>
      <c r="E765" s="52">
        <v>88</v>
      </c>
      <c r="F765" s="52">
        <v>1732</v>
      </c>
      <c r="G765" s="52">
        <v>152416</v>
      </c>
      <c r="H765" s="52" t="s">
        <v>1027</v>
      </c>
      <c r="I765" s="52" t="s">
        <v>1028</v>
      </c>
      <c r="J765" s="53">
        <v>46051</v>
      </c>
    </row>
    <row r="766" spans="1:10" x14ac:dyDescent="0.25">
      <c r="A766" s="52" t="s">
        <v>774</v>
      </c>
      <c r="B766" s="53">
        <v>45880</v>
      </c>
      <c r="C766" s="52" t="s">
        <v>1010</v>
      </c>
      <c r="D766" s="52" t="s">
        <v>1024</v>
      </c>
      <c r="E766" s="52">
        <v>206</v>
      </c>
      <c r="F766" s="52">
        <v>1118</v>
      </c>
      <c r="G766" s="52">
        <v>230308</v>
      </c>
      <c r="H766" s="52" t="s">
        <v>1030</v>
      </c>
      <c r="I766" s="52" t="s">
        <v>1029</v>
      </c>
      <c r="J766" s="53" t="s">
        <v>1031</v>
      </c>
    </row>
    <row r="767" spans="1:10" x14ac:dyDescent="0.25">
      <c r="A767" s="52" t="s">
        <v>775</v>
      </c>
      <c r="B767" s="53">
        <v>45918</v>
      </c>
      <c r="C767" s="52" t="s">
        <v>1011</v>
      </c>
      <c r="D767" s="52" t="s">
        <v>1015</v>
      </c>
      <c r="E767" s="52">
        <v>492</v>
      </c>
      <c r="F767" s="52">
        <v>830</v>
      </c>
      <c r="G767" s="52">
        <v>408360</v>
      </c>
      <c r="H767" s="52" t="s">
        <v>1025</v>
      </c>
      <c r="I767" s="52" t="s">
        <v>1028</v>
      </c>
      <c r="J767" s="53">
        <v>45931</v>
      </c>
    </row>
    <row r="768" spans="1:10" x14ac:dyDescent="0.25">
      <c r="A768" s="52" t="s">
        <v>776</v>
      </c>
      <c r="B768" s="53">
        <v>45869</v>
      </c>
      <c r="C768" s="52" t="s">
        <v>1011</v>
      </c>
      <c r="D768" s="52" t="s">
        <v>1020</v>
      </c>
      <c r="E768" s="52">
        <v>177</v>
      </c>
      <c r="F768" s="52">
        <v>339</v>
      </c>
      <c r="G768" s="52">
        <v>60003</v>
      </c>
      <c r="H768" s="52" t="s">
        <v>1030</v>
      </c>
      <c r="I768" s="52" t="s">
        <v>1029</v>
      </c>
      <c r="J768" s="53" t="s">
        <v>1031</v>
      </c>
    </row>
    <row r="769" spans="1:10" x14ac:dyDescent="0.25">
      <c r="A769" s="52" t="s">
        <v>777</v>
      </c>
      <c r="B769" s="53">
        <v>45783</v>
      </c>
      <c r="C769" s="52" t="s">
        <v>1011</v>
      </c>
      <c r="D769" s="52" t="s">
        <v>1024</v>
      </c>
      <c r="E769" s="52">
        <v>413</v>
      </c>
      <c r="F769" s="52">
        <v>267</v>
      </c>
      <c r="G769" s="52">
        <v>110271</v>
      </c>
      <c r="H769" s="52" t="s">
        <v>1025</v>
      </c>
      <c r="I769" s="52" t="s">
        <v>1028</v>
      </c>
      <c r="J769" s="53">
        <v>45793</v>
      </c>
    </row>
    <row r="770" spans="1:10" x14ac:dyDescent="0.25">
      <c r="A770" s="52" t="s">
        <v>778</v>
      </c>
      <c r="B770" s="53">
        <v>45821</v>
      </c>
      <c r="C770" s="52" t="s">
        <v>1013</v>
      </c>
      <c r="D770" s="52" t="s">
        <v>1019</v>
      </c>
      <c r="E770" s="52">
        <v>351</v>
      </c>
      <c r="F770" s="52">
        <v>1994</v>
      </c>
      <c r="G770" s="52">
        <v>699894</v>
      </c>
      <c r="H770" s="52" t="s">
        <v>1025</v>
      </c>
      <c r="I770" s="52" t="s">
        <v>1026</v>
      </c>
      <c r="J770" s="53" t="s">
        <v>1031</v>
      </c>
    </row>
    <row r="771" spans="1:10" x14ac:dyDescent="0.25">
      <c r="A771" s="52" t="s">
        <v>779</v>
      </c>
      <c r="B771" s="53">
        <v>45705</v>
      </c>
      <c r="C771" s="52" t="s">
        <v>1011</v>
      </c>
      <c r="D771" s="52" t="s">
        <v>1016</v>
      </c>
      <c r="E771" s="52">
        <v>482</v>
      </c>
      <c r="F771" s="52">
        <v>1118</v>
      </c>
      <c r="G771" s="52">
        <v>538876</v>
      </c>
      <c r="H771" s="52" t="s">
        <v>1027</v>
      </c>
      <c r="I771" s="52" t="s">
        <v>1029</v>
      </c>
      <c r="J771" s="53" t="s">
        <v>1031</v>
      </c>
    </row>
    <row r="772" spans="1:10" x14ac:dyDescent="0.25">
      <c r="A772" s="52" t="s">
        <v>780</v>
      </c>
      <c r="B772" s="53">
        <v>46015</v>
      </c>
      <c r="C772" s="52" t="s">
        <v>1010</v>
      </c>
      <c r="D772" s="52" t="s">
        <v>1020</v>
      </c>
      <c r="E772" s="52">
        <v>14</v>
      </c>
      <c r="F772" s="52">
        <v>1992</v>
      </c>
      <c r="G772" s="52">
        <v>27888</v>
      </c>
      <c r="H772" s="52" t="s">
        <v>1025</v>
      </c>
      <c r="I772" s="52" t="s">
        <v>1028</v>
      </c>
      <c r="J772" s="53">
        <v>46029</v>
      </c>
    </row>
    <row r="773" spans="1:10" x14ac:dyDescent="0.25">
      <c r="A773" s="52" t="s">
        <v>781</v>
      </c>
      <c r="B773" s="53">
        <v>45679</v>
      </c>
      <c r="C773" s="52" t="s">
        <v>1014</v>
      </c>
      <c r="D773" s="52" t="s">
        <v>1017</v>
      </c>
      <c r="E773" s="52">
        <v>162</v>
      </c>
      <c r="F773" s="52">
        <v>685</v>
      </c>
      <c r="G773" s="52">
        <v>110970</v>
      </c>
      <c r="H773" s="52" t="s">
        <v>1027</v>
      </c>
      <c r="I773" s="52" t="s">
        <v>1026</v>
      </c>
      <c r="J773" s="53" t="s">
        <v>1031</v>
      </c>
    </row>
    <row r="774" spans="1:10" x14ac:dyDescent="0.25">
      <c r="A774" s="52" t="s">
        <v>782</v>
      </c>
      <c r="B774" s="53">
        <v>45865</v>
      </c>
      <c r="C774" s="52" t="s">
        <v>1010</v>
      </c>
      <c r="D774" s="52" t="s">
        <v>1022</v>
      </c>
      <c r="E774" s="52">
        <v>350</v>
      </c>
      <c r="F774" s="52">
        <v>1609</v>
      </c>
      <c r="G774" s="52">
        <v>563150</v>
      </c>
      <c r="H774" s="52" t="s">
        <v>1027</v>
      </c>
      <c r="I774" s="52" t="s">
        <v>1029</v>
      </c>
      <c r="J774" s="53" t="s">
        <v>1031</v>
      </c>
    </row>
    <row r="775" spans="1:10" x14ac:dyDescent="0.25">
      <c r="A775" s="52" t="s">
        <v>783</v>
      </c>
      <c r="B775" s="53">
        <v>45795</v>
      </c>
      <c r="C775" s="52" t="s">
        <v>1010</v>
      </c>
      <c r="D775" s="52" t="s">
        <v>1019</v>
      </c>
      <c r="E775" s="52">
        <v>195</v>
      </c>
      <c r="F775" s="52">
        <v>1811</v>
      </c>
      <c r="G775" s="52">
        <v>353145</v>
      </c>
      <c r="H775" s="52" t="s">
        <v>1030</v>
      </c>
      <c r="I775" s="52" t="s">
        <v>1028</v>
      </c>
      <c r="J775" s="53">
        <v>45804</v>
      </c>
    </row>
    <row r="776" spans="1:10" x14ac:dyDescent="0.25">
      <c r="A776" s="52" t="s">
        <v>784</v>
      </c>
      <c r="B776" s="53">
        <v>45971</v>
      </c>
      <c r="C776" s="52" t="s">
        <v>1010</v>
      </c>
      <c r="D776" s="52" t="s">
        <v>1020</v>
      </c>
      <c r="E776" s="52">
        <v>409</v>
      </c>
      <c r="F776" s="52">
        <v>890</v>
      </c>
      <c r="G776" s="52">
        <v>364010</v>
      </c>
      <c r="H776" s="52" t="s">
        <v>1030</v>
      </c>
      <c r="I776" s="52" t="s">
        <v>1029</v>
      </c>
      <c r="J776" s="53" t="s">
        <v>1031</v>
      </c>
    </row>
    <row r="777" spans="1:10" x14ac:dyDescent="0.25">
      <c r="A777" s="52" t="s">
        <v>785</v>
      </c>
      <c r="B777" s="53">
        <v>45995</v>
      </c>
      <c r="C777" s="52" t="s">
        <v>1012</v>
      </c>
      <c r="D777" s="52" t="s">
        <v>1016</v>
      </c>
      <c r="E777" s="52">
        <v>313</v>
      </c>
      <c r="F777" s="52">
        <v>971</v>
      </c>
      <c r="G777" s="52">
        <v>303923</v>
      </c>
      <c r="H777" s="52" t="s">
        <v>1027</v>
      </c>
      <c r="I777" s="52" t="s">
        <v>1029</v>
      </c>
      <c r="J777" s="53" t="s">
        <v>1031</v>
      </c>
    </row>
    <row r="778" spans="1:10" x14ac:dyDescent="0.25">
      <c r="A778" s="52" t="s">
        <v>786</v>
      </c>
      <c r="B778" s="53">
        <v>46014</v>
      </c>
      <c r="C778" s="52" t="s">
        <v>1012</v>
      </c>
      <c r="D778" s="52" t="s">
        <v>1018</v>
      </c>
      <c r="E778" s="52">
        <v>313</v>
      </c>
      <c r="F778" s="52">
        <v>1112</v>
      </c>
      <c r="G778" s="52">
        <v>348056</v>
      </c>
      <c r="H778" s="52" t="s">
        <v>1030</v>
      </c>
      <c r="I778" s="52" t="s">
        <v>1026</v>
      </c>
      <c r="J778" s="53" t="s">
        <v>1031</v>
      </c>
    </row>
    <row r="779" spans="1:10" x14ac:dyDescent="0.25">
      <c r="A779" s="52" t="s">
        <v>787</v>
      </c>
      <c r="B779" s="53">
        <v>45973</v>
      </c>
      <c r="C779" s="52" t="s">
        <v>1011</v>
      </c>
      <c r="D779" s="52" t="s">
        <v>1019</v>
      </c>
      <c r="E779" s="52">
        <v>168</v>
      </c>
      <c r="F779" s="52">
        <v>1415</v>
      </c>
      <c r="G779" s="52">
        <v>237720</v>
      </c>
      <c r="H779" s="52" t="s">
        <v>1027</v>
      </c>
      <c r="I779" s="52" t="s">
        <v>1029</v>
      </c>
      <c r="J779" s="53" t="s">
        <v>1031</v>
      </c>
    </row>
    <row r="780" spans="1:10" x14ac:dyDescent="0.25">
      <c r="A780" s="52" t="s">
        <v>788</v>
      </c>
      <c r="B780" s="53">
        <v>45732</v>
      </c>
      <c r="C780" s="52" t="s">
        <v>1010</v>
      </c>
      <c r="D780" s="52" t="s">
        <v>1019</v>
      </c>
      <c r="E780" s="52">
        <v>141</v>
      </c>
      <c r="F780" s="52">
        <v>700</v>
      </c>
      <c r="G780" s="52">
        <v>98700</v>
      </c>
      <c r="H780" s="52" t="s">
        <v>1025</v>
      </c>
      <c r="I780" s="52" t="s">
        <v>1028</v>
      </c>
      <c r="J780" s="53">
        <v>45738</v>
      </c>
    </row>
    <row r="781" spans="1:10" x14ac:dyDescent="0.25">
      <c r="A781" s="52" t="s">
        <v>789</v>
      </c>
      <c r="B781" s="53">
        <v>45730</v>
      </c>
      <c r="C781" s="52" t="s">
        <v>1011</v>
      </c>
      <c r="D781" s="52" t="s">
        <v>1017</v>
      </c>
      <c r="E781" s="52">
        <v>38</v>
      </c>
      <c r="F781" s="52">
        <v>389</v>
      </c>
      <c r="G781" s="52">
        <v>14782</v>
      </c>
      <c r="H781" s="52" t="s">
        <v>1027</v>
      </c>
      <c r="I781" s="52" t="s">
        <v>1026</v>
      </c>
      <c r="J781" s="53" t="s">
        <v>1031</v>
      </c>
    </row>
    <row r="782" spans="1:10" x14ac:dyDescent="0.25">
      <c r="A782" s="52" t="s">
        <v>790</v>
      </c>
      <c r="B782" s="53">
        <v>45724</v>
      </c>
      <c r="C782" s="52" t="s">
        <v>1011</v>
      </c>
      <c r="D782" s="52" t="s">
        <v>1024</v>
      </c>
      <c r="E782" s="52">
        <v>17</v>
      </c>
      <c r="F782" s="52">
        <v>76</v>
      </c>
      <c r="G782" s="52">
        <v>1292</v>
      </c>
      <c r="H782" s="52" t="s">
        <v>1027</v>
      </c>
      <c r="I782" s="52" t="s">
        <v>1026</v>
      </c>
      <c r="J782" s="53" t="s">
        <v>1031</v>
      </c>
    </row>
    <row r="783" spans="1:10" x14ac:dyDescent="0.25">
      <c r="A783" s="52" t="s">
        <v>791</v>
      </c>
      <c r="B783" s="53">
        <v>45976</v>
      </c>
      <c r="C783" s="52" t="s">
        <v>1012</v>
      </c>
      <c r="D783" s="52" t="s">
        <v>1017</v>
      </c>
      <c r="E783" s="52">
        <v>309</v>
      </c>
      <c r="F783" s="52">
        <v>824</v>
      </c>
      <c r="G783" s="52">
        <v>254616</v>
      </c>
      <c r="H783" s="52" t="s">
        <v>1030</v>
      </c>
      <c r="I783" s="52" t="s">
        <v>1026</v>
      </c>
      <c r="J783" s="53" t="s">
        <v>1031</v>
      </c>
    </row>
    <row r="784" spans="1:10" x14ac:dyDescent="0.25">
      <c r="A784" s="52" t="s">
        <v>792</v>
      </c>
      <c r="B784" s="53">
        <v>45801</v>
      </c>
      <c r="C784" s="52" t="s">
        <v>1013</v>
      </c>
      <c r="D784" s="52" t="s">
        <v>1024</v>
      </c>
      <c r="E784" s="52">
        <v>363</v>
      </c>
      <c r="F784" s="52">
        <v>416</v>
      </c>
      <c r="G784" s="52">
        <v>151008</v>
      </c>
      <c r="H784" s="52" t="s">
        <v>1025</v>
      </c>
      <c r="I784" s="52" t="s">
        <v>1026</v>
      </c>
      <c r="J784" s="53" t="s">
        <v>1031</v>
      </c>
    </row>
    <row r="785" spans="1:10" x14ac:dyDescent="0.25">
      <c r="A785" s="52" t="s">
        <v>793</v>
      </c>
      <c r="B785" s="53">
        <v>46043</v>
      </c>
      <c r="C785" s="52" t="s">
        <v>1010</v>
      </c>
      <c r="D785" s="52" t="s">
        <v>1019</v>
      </c>
      <c r="E785" s="52">
        <v>370</v>
      </c>
      <c r="F785" s="52">
        <v>400</v>
      </c>
      <c r="G785" s="52">
        <v>148000</v>
      </c>
      <c r="H785" s="52" t="s">
        <v>1027</v>
      </c>
      <c r="I785" s="52" t="s">
        <v>1026</v>
      </c>
      <c r="J785" s="53" t="s">
        <v>1031</v>
      </c>
    </row>
    <row r="786" spans="1:10" x14ac:dyDescent="0.25">
      <c r="A786" s="52" t="s">
        <v>794</v>
      </c>
      <c r="B786" s="53">
        <v>45891</v>
      </c>
      <c r="C786" s="52" t="s">
        <v>1013</v>
      </c>
      <c r="D786" s="52" t="s">
        <v>1024</v>
      </c>
      <c r="E786" s="52">
        <v>433</v>
      </c>
      <c r="F786" s="52">
        <v>143</v>
      </c>
      <c r="G786" s="52">
        <v>61919</v>
      </c>
      <c r="H786" s="52" t="s">
        <v>1027</v>
      </c>
      <c r="I786" s="52" t="s">
        <v>1028</v>
      </c>
      <c r="J786" s="53">
        <v>45904</v>
      </c>
    </row>
    <row r="787" spans="1:10" x14ac:dyDescent="0.25">
      <c r="A787" s="52" t="s">
        <v>795</v>
      </c>
      <c r="B787" s="53">
        <v>45906</v>
      </c>
      <c r="C787" s="52" t="s">
        <v>1013</v>
      </c>
      <c r="D787" s="52" t="s">
        <v>1017</v>
      </c>
      <c r="E787" s="52">
        <v>488</v>
      </c>
      <c r="F787" s="52">
        <v>657</v>
      </c>
      <c r="G787" s="52">
        <v>320616</v>
      </c>
      <c r="H787" s="52" t="s">
        <v>1027</v>
      </c>
      <c r="I787" s="52" t="s">
        <v>1028</v>
      </c>
      <c r="J787" s="53">
        <v>45919</v>
      </c>
    </row>
    <row r="788" spans="1:10" x14ac:dyDescent="0.25">
      <c r="A788" s="52" t="s">
        <v>796</v>
      </c>
      <c r="B788" s="53">
        <v>45771</v>
      </c>
      <c r="C788" s="52" t="s">
        <v>1011</v>
      </c>
      <c r="D788" s="52" t="s">
        <v>1023</v>
      </c>
      <c r="E788" s="52">
        <v>287</v>
      </c>
      <c r="F788" s="52">
        <v>1719</v>
      </c>
      <c r="G788" s="52">
        <v>493353</v>
      </c>
      <c r="H788" s="52" t="s">
        <v>1030</v>
      </c>
      <c r="I788" s="52" t="s">
        <v>1026</v>
      </c>
      <c r="J788" s="53" t="s">
        <v>1031</v>
      </c>
    </row>
    <row r="789" spans="1:10" x14ac:dyDescent="0.25">
      <c r="A789" s="52" t="s">
        <v>797</v>
      </c>
      <c r="B789" s="53">
        <v>46038</v>
      </c>
      <c r="C789" s="52" t="s">
        <v>1011</v>
      </c>
      <c r="D789" s="52" t="s">
        <v>1022</v>
      </c>
      <c r="E789" s="52">
        <v>114</v>
      </c>
      <c r="F789" s="52">
        <v>1876</v>
      </c>
      <c r="G789" s="52">
        <v>213864</v>
      </c>
      <c r="H789" s="52" t="s">
        <v>1027</v>
      </c>
      <c r="I789" s="52" t="s">
        <v>1026</v>
      </c>
      <c r="J789" s="53" t="s">
        <v>1031</v>
      </c>
    </row>
    <row r="790" spans="1:10" x14ac:dyDescent="0.25">
      <c r="A790" s="52" t="s">
        <v>798</v>
      </c>
      <c r="B790" s="53">
        <v>45996</v>
      </c>
      <c r="C790" s="52" t="s">
        <v>1013</v>
      </c>
      <c r="D790" s="52" t="s">
        <v>1022</v>
      </c>
      <c r="E790" s="52">
        <v>4</v>
      </c>
      <c r="F790" s="52">
        <v>1693</v>
      </c>
      <c r="G790" s="52">
        <v>6772</v>
      </c>
      <c r="H790" s="52" t="s">
        <v>1030</v>
      </c>
      <c r="I790" s="52" t="s">
        <v>1029</v>
      </c>
      <c r="J790" s="53" t="s">
        <v>1031</v>
      </c>
    </row>
    <row r="791" spans="1:10" x14ac:dyDescent="0.25">
      <c r="A791" s="52" t="s">
        <v>799</v>
      </c>
      <c r="B791" s="53">
        <v>45906</v>
      </c>
      <c r="C791" s="52" t="s">
        <v>1010</v>
      </c>
      <c r="D791" s="52" t="s">
        <v>1016</v>
      </c>
      <c r="E791" s="52">
        <v>110</v>
      </c>
      <c r="F791" s="52">
        <v>1808</v>
      </c>
      <c r="G791" s="52">
        <v>198880</v>
      </c>
      <c r="H791" s="52" t="s">
        <v>1027</v>
      </c>
      <c r="I791" s="52" t="s">
        <v>1028</v>
      </c>
      <c r="J791" s="53">
        <v>45921</v>
      </c>
    </row>
    <row r="792" spans="1:10" x14ac:dyDescent="0.25">
      <c r="A792" s="52" t="s">
        <v>800</v>
      </c>
      <c r="B792" s="53">
        <v>45692</v>
      </c>
      <c r="C792" s="52" t="s">
        <v>1013</v>
      </c>
      <c r="D792" s="52" t="s">
        <v>1015</v>
      </c>
      <c r="E792" s="52">
        <v>491</v>
      </c>
      <c r="F792" s="52">
        <v>105</v>
      </c>
      <c r="G792" s="52">
        <v>51555</v>
      </c>
      <c r="H792" s="52" t="s">
        <v>1027</v>
      </c>
      <c r="I792" s="52" t="s">
        <v>1028</v>
      </c>
      <c r="J792" s="53">
        <v>45706</v>
      </c>
    </row>
    <row r="793" spans="1:10" x14ac:dyDescent="0.25">
      <c r="A793" s="52" t="s">
        <v>801</v>
      </c>
      <c r="B793" s="53">
        <v>45777</v>
      </c>
      <c r="C793" s="52" t="s">
        <v>1010</v>
      </c>
      <c r="D793" s="52" t="s">
        <v>1022</v>
      </c>
      <c r="E793" s="52">
        <v>492</v>
      </c>
      <c r="F793" s="52">
        <v>1560</v>
      </c>
      <c r="G793" s="52">
        <v>767520</v>
      </c>
      <c r="H793" s="52" t="s">
        <v>1027</v>
      </c>
      <c r="I793" s="52" t="s">
        <v>1028</v>
      </c>
      <c r="J793" s="53">
        <v>45784</v>
      </c>
    </row>
    <row r="794" spans="1:10" x14ac:dyDescent="0.25">
      <c r="A794" s="52" t="s">
        <v>802</v>
      </c>
      <c r="B794" s="53">
        <v>46039</v>
      </c>
      <c r="C794" s="52" t="s">
        <v>1013</v>
      </c>
      <c r="D794" s="52" t="s">
        <v>1019</v>
      </c>
      <c r="E794" s="52">
        <v>435</v>
      </c>
      <c r="F794" s="52">
        <v>302</v>
      </c>
      <c r="G794" s="52">
        <v>131370</v>
      </c>
      <c r="H794" s="52" t="s">
        <v>1027</v>
      </c>
      <c r="I794" s="52" t="s">
        <v>1029</v>
      </c>
      <c r="J794" s="53" t="s">
        <v>1031</v>
      </c>
    </row>
    <row r="795" spans="1:10" x14ac:dyDescent="0.25">
      <c r="A795" s="52" t="s">
        <v>803</v>
      </c>
      <c r="B795" s="53">
        <v>45866</v>
      </c>
      <c r="C795" s="52" t="s">
        <v>1011</v>
      </c>
      <c r="D795" s="52" t="s">
        <v>1016</v>
      </c>
      <c r="E795" s="52">
        <v>23</v>
      </c>
      <c r="F795" s="52">
        <v>43</v>
      </c>
      <c r="G795" s="52">
        <v>989</v>
      </c>
      <c r="H795" s="52" t="s">
        <v>1025</v>
      </c>
      <c r="I795" s="52" t="s">
        <v>1028</v>
      </c>
      <c r="J795" s="53">
        <v>45880</v>
      </c>
    </row>
    <row r="796" spans="1:10" x14ac:dyDescent="0.25">
      <c r="A796" s="52" t="s">
        <v>804</v>
      </c>
      <c r="B796" s="53">
        <v>45884</v>
      </c>
      <c r="C796" s="52" t="s">
        <v>1012</v>
      </c>
      <c r="D796" s="52" t="s">
        <v>1019</v>
      </c>
      <c r="E796" s="52">
        <v>59</v>
      </c>
      <c r="F796" s="52">
        <v>751</v>
      </c>
      <c r="G796" s="52">
        <v>44309</v>
      </c>
      <c r="H796" s="52" t="s">
        <v>1027</v>
      </c>
      <c r="I796" s="52" t="s">
        <v>1029</v>
      </c>
      <c r="J796" s="53" t="s">
        <v>1031</v>
      </c>
    </row>
    <row r="797" spans="1:10" x14ac:dyDescent="0.25">
      <c r="A797" s="52" t="s">
        <v>805</v>
      </c>
      <c r="B797" s="53">
        <v>45663</v>
      </c>
      <c r="C797" s="52" t="s">
        <v>1014</v>
      </c>
      <c r="D797" s="52" t="s">
        <v>1015</v>
      </c>
      <c r="E797" s="52">
        <v>166</v>
      </c>
      <c r="F797" s="52">
        <v>438</v>
      </c>
      <c r="G797" s="52">
        <v>72708</v>
      </c>
      <c r="H797" s="52" t="s">
        <v>1025</v>
      </c>
      <c r="I797" s="52" t="s">
        <v>1026</v>
      </c>
      <c r="J797" s="53" t="s">
        <v>1031</v>
      </c>
    </row>
    <row r="798" spans="1:10" x14ac:dyDescent="0.25">
      <c r="A798" s="52" t="s">
        <v>806</v>
      </c>
      <c r="B798" s="53">
        <v>45901</v>
      </c>
      <c r="C798" s="52" t="s">
        <v>1010</v>
      </c>
      <c r="D798" s="52" t="s">
        <v>1022</v>
      </c>
      <c r="E798" s="52">
        <v>54</v>
      </c>
      <c r="F798" s="52">
        <v>1762</v>
      </c>
      <c r="G798" s="52">
        <v>95148</v>
      </c>
      <c r="H798" s="52" t="s">
        <v>1027</v>
      </c>
      <c r="I798" s="52" t="s">
        <v>1026</v>
      </c>
      <c r="J798" s="53" t="s">
        <v>1031</v>
      </c>
    </row>
    <row r="799" spans="1:10" x14ac:dyDescent="0.25">
      <c r="A799" s="52" t="s">
        <v>807</v>
      </c>
      <c r="B799" s="53">
        <v>45899</v>
      </c>
      <c r="C799" s="52" t="s">
        <v>1012</v>
      </c>
      <c r="D799" s="52" t="s">
        <v>1017</v>
      </c>
      <c r="E799" s="52">
        <v>69</v>
      </c>
      <c r="F799" s="52">
        <v>705</v>
      </c>
      <c r="G799" s="52">
        <v>48645</v>
      </c>
      <c r="H799" s="52" t="s">
        <v>1025</v>
      </c>
      <c r="I799" s="52" t="s">
        <v>1029</v>
      </c>
      <c r="J799" s="53" t="s">
        <v>1031</v>
      </c>
    </row>
    <row r="800" spans="1:10" x14ac:dyDescent="0.25">
      <c r="A800" s="52" t="s">
        <v>808</v>
      </c>
      <c r="B800" s="53">
        <v>45822</v>
      </c>
      <c r="C800" s="52" t="s">
        <v>1011</v>
      </c>
      <c r="D800" s="52" t="s">
        <v>1015</v>
      </c>
      <c r="E800" s="52">
        <v>343</v>
      </c>
      <c r="F800" s="52">
        <v>1425</v>
      </c>
      <c r="G800" s="52">
        <v>488775</v>
      </c>
      <c r="H800" s="52" t="s">
        <v>1027</v>
      </c>
      <c r="I800" s="52" t="s">
        <v>1026</v>
      </c>
      <c r="J800" s="53" t="s">
        <v>1031</v>
      </c>
    </row>
    <row r="801" spans="1:10" x14ac:dyDescent="0.25">
      <c r="A801" s="52" t="s">
        <v>809</v>
      </c>
      <c r="B801" s="53">
        <v>45919</v>
      </c>
      <c r="C801" s="52" t="s">
        <v>1012</v>
      </c>
      <c r="D801" s="52" t="s">
        <v>1019</v>
      </c>
      <c r="E801" s="52">
        <v>485</v>
      </c>
      <c r="F801" s="52">
        <v>1358</v>
      </c>
      <c r="G801" s="52">
        <v>658630</v>
      </c>
      <c r="H801" s="52" t="s">
        <v>1030</v>
      </c>
      <c r="I801" s="52" t="s">
        <v>1028</v>
      </c>
      <c r="J801" s="53">
        <v>45934</v>
      </c>
    </row>
    <row r="802" spans="1:10" x14ac:dyDescent="0.25">
      <c r="A802" s="52" t="s">
        <v>810</v>
      </c>
      <c r="B802" s="53">
        <v>45664</v>
      </c>
      <c r="C802" s="52" t="s">
        <v>1012</v>
      </c>
      <c r="D802" s="52" t="s">
        <v>1022</v>
      </c>
      <c r="E802" s="52">
        <v>238</v>
      </c>
      <c r="F802" s="52">
        <v>1412</v>
      </c>
      <c r="G802" s="52">
        <v>336056</v>
      </c>
      <c r="H802" s="52" t="s">
        <v>1027</v>
      </c>
      <c r="I802" s="52" t="s">
        <v>1026</v>
      </c>
      <c r="J802" s="53" t="s">
        <v>1031</v>
      </c>
    </row>
    <row r="803" spans="1:10" x14ac:dyDescent="0.25">
      <c r="A803" s="52" t="s">
        <v>811</v>
      </c>
      <c r="B803" s="53">
        <v>45773</v>
      </c>
      <c r="C803" s="52" t="s">
        <v>1012</v>
      </c>
      <c r="D803" s="52" t="s">
        <v>1018</v>
      </c>
      <c r="E803" s="52">
        <v>275</v>
      </c>
      <c r="F803" s="52">
        <v>1389</v>
      </c>
      <c r="G803" s="52">
        <v>381975</v>
      </c>
      <c r="H803" s="52" t="s">
        <v>1027</v>
      </c>
      <c r="I803" s="52" t="s">
        <v>1026</v>
      </c>
      <c r="J803" s="53" t="s">
        <v>1031</v>
      </c>
    </row>
    <row r="804" spans="1:10" x14ac:dyDescent="0.25">
      <c r="A804" s="52" t="s">
        <v>812</v>
      </c>
      <c r="B804" s="53">
        <v>45794</v>
      </c>
      <c r="C804" s="52" t="s">
        <v>1010</v>
      </c>
      <c r="D804" s="52" t="s">
        <v>1023</v>
      </c>
      <c r="E804" s="52">
        <v>466</v>
      </c>
      <c r="F804" s="52">
        <v>1407</v>
      </c>
      <c r="G804" s="52">
        <v>655662</v>
      </c>
      <c r="H804" s="52" t="s">
        <v>1025</v>
      </c>
      <c r="I804" s="52" t="s">
        <v>1026</v>
      </c>
      <c r="J804" s="53" t="s">
        <v>1031</v>
      </c>
    </row>
    <row r="805" spans="1:10" x14ac:dyDescent="0.25">
      <c r="A805" s="52" t="s">
        <v>813</v>
      </c>
      <c r="B805" s="53">
        <v>45675</v>
      </c>
      <c r="C805" s="52" t="s">
        <v>1013</v>
      </c>
      <c r="D805" s="52" t="s">
        <v>1023</v>
      </c>
      <c r="E805" s="52">
        <v>134</v>
      </c>
      <c r="F805" s="52">
        <v>197</v>
      </c>
      <c r="G805" s="52">
        <v>26398</v>
      </c>
      <c r="H805" s="52" t="s">
        <v>1025</v>
      </c>
      <c r="I805" s="52" t="s">
        <v>1028</v>
      </c>
      <c r="J805" s="53">
        <v>45686</v>
      </c>
    </row>
    <row r="806" spans="1:10" x14ac:dyDescent="0.25">
      <c r="A806" s="52" t="s">
        <v>814</v>
      </c>
      <c r="B806" s="53">
        <v>45675</v>
      </c>
      <c r="C806" s="52" t="s">
        <v>1011</v>
      </c>
      <c r="D806" s="52" t="s">
        <v>1018</v>
      </c>
      <c r="E806" s="52">
        <v>148</v>
      </c>
      <c r="F806" s="52">
        <v>286</v>
      </c>
      <c r="G806" s="52">
        <v>42328</v>
      </c>
      <c r="H806" s="52" t="s">
        <v>1027</v>
      </c>
      <c r="I806" s="52" t="s">
        <v>1029</v>
      </c>
      <c r="J806" s="53" t="s">
        <v>1031</v>
      </c>
    </row>
    <row r="807" spans="1:10" x14ac:dyDescent="0.25">
      <c r="A807" s="52" t="s">
        <v>815</v>
      </c>
      <c r="B807" s="53">
        <v>45752</v>
      </c>
      <c r="C807" s="52" t="s">
        <v>1010</v>
      </c>
      <c r="D807" s="52" t="s">
        <v>1022</v>
      </c>
      <c r="E807" s="52">
        <v>27</v>
      </c>
      <c r="F807" s="52">
        <v>1813</v>
      </c>
      <c r="G807" s="52">
        <v>48951</v>
      </c>
      <c r="H807" s="52" t="s">
        <v>1030</v>
      </c>
      <c r="I807" s="52" t="s">
        <v>1029</v>
      </c>
      <c r="J807" s="53" t="s">
        <v>1031</v>
      </c>
    </row>
    <row r="808" spans="1:10" x14ac:dyDescent="0.25">
      <c r="A808" s="52" t="s">
        <v>816</v>
      </c>
      <c r="B808" s="53">
        <v>45674</v>
      </c>
      <c r="C808" s="52" t="s">
        <v>1012</v>
      </c>
      <c r="D808" s="52" t="s">
        <v>1022</v>
      </c>
      <c r="E808" s="52">
        <v>74</v>
      </c>
      <c r="F808" s="52">
        <v>675</v>
      </c>
      <c r="G808" s="52">
        <v>49950</v>
      </c>
      <c r="H808" s="52" t="s">
        <v>1025</v>
      </c>
      <c r="I808" s="52" t="s">
        <v>1026</v>
      </c>
      <c r="J808" s="53" t="s">
        <v>1031</v>
      </c>
    </row>
    <row r="809" spans="1:10" x14ac:dyDescent="0.25">
      <c r="A809" s="52" t="s">
        <v>817</v>
      </c>
      <c r="B809" s="53">
        <v>45954</v>
      </c>
      <c r="C809" s="52" t="s">
        <v>1013</v>
      </c>
      <c r="D809" s="52" t="s">
        <v>1021</v>
      </c>
      <c r="E809" s="52">
        <v>199</v>
      </c>
      <c r="F809" s="52">
        <v>701</v>
      </c>
      <c r="G809" s="52">
        <v>139499</v>
      </c>
      <c r="H809" s="52" t="s">
        <v>1030</v>
      </c>
      <c r="I809" s="52" t="s">
        <v>1028</v>
      </c>
      <c r="J809" s="53">
        <v>45967</v>
      </c>
    </row>
    <row r="810" spans="1:10" x14ac:dyDescent="0.25">
      <c r="A810" s="52" t="s">
        <v>818</v>
      </c>
      <c r="B810" s="53">
        <v>46045</v>
      </c>
      <c r="C810" s="52" t="s">
        <v>1010</v>
      </c>
      <c r="D810" s="52" t="s">
        <v>1022</v>
      </c>
      <c r="E810" s="52">
        <v>348</v>
      </c>
      <c r="F810" s="52">
        <v>1512</v>
      </c>
      <c r="G810" s="52">
        <v>526176</v>
      </c>
      <c r="H810" s="52" t="s">
        <v>1025</v>
      </c>
      <c r="I810" s="52" t="s">
        <v>1028</v>
      </c>
      <c r="J810" s="53">
        <v>46058</v>
      </c>
    </row>
    <row r="811" spans="1:10" x14ac:dyDescent="0.25">
      <c r="A811" s="52" t="s">
        <v>819</v>
      </c>
      <c r="B811" s="53">
        <v>45726</v>
      </c>
      <c r="C811" s="52" t="s">
        <v>1013</v>
      </c>
      <c r="D811" s="52" t="s">
        <v>1017</v>
      </c>
      <c r="E811" s="52">
        <v>33</v>
      </c>
      <c r="F811" s="52">
        <v>1076</v>
      </c>
      <c r="G811" s="52">
        <v>35508</v>
      </c>
      <c r="H811" s="52" t="s">
        <v>1025</v>
      </c>
      <c r="I811" s="52" t="s">
        <v>1028</v>
      </c>
      <c r="J811" s="53">
        <v>45738</v>
      </c>
    </row>
    <row r="812" spans="1:10" x14ac:dyDescent="0.25">
      <c r="A812" s="52" t="s">
        <v>820</v>
      </c>
      <c r="B812" s="53">
        <v>45943</v>
      </c>
      <c r="C812" s="52" t="s">
        <v>1011</v>
      </c>
      <c r="D812" s="52" t="s">
        <v>1023</v>
      </c>
      <c r="E812" s="52">
        <v>237</v>
      </c>
      <c r="F812" s="52">
        <v>497</v>
      </c>
      <c r="G812" s="52">
        <v>117789</v>
      </c>
      <c r="H812" s="52" t="s">
        <v>1025</v>
      </c>
      <c r="I812" s="52" t="s">
        <v>1029</v>
      </c>
      <c r="J812" s="53" t="s">
        <v>1031</v>
      </c>
    </row>
    <row r="813" spans="1:10" x14ac:dyDescent="0.25">
      <c r="A813" s="52" t="s">
        <v>821</v>
      </c>
      <c r="B813" s="53">
        <v>45912</v>
      </c>
      <c r="C813" s="52" t="s">
        <v>1013</v>
      </c>
      <c r="D813" s="52" t="s">
        <v>1024</v>
      </c>
      <c r="E813" s="52">
        <v>434</v>
      </c>
      <c r="F813" s="52">
        <v>1672</v>
      </c>
      <c r="G813" s="52">
        <v>725648</v>
      </c>
      <c r="H813" s="52" t="s">
        <v>1027</v>
      </c>
      <c r="I813" s="52" t="s">
        <v>1029</v>
      </c>
      <c r="J813" s="53" t="s">
        <v>1031</v>
      </c>
    </row>
    <row r="814" spans="1:10" x14ac:dyDescent="0.25">
      <c r="A814" s="52" t="s">
        <v>822</v>
      </c>
      <c r="B814" s="53">
        <v>45936</v>
      </c>
      <c r="C814" s="52" t="s">
        <v>1012</v>
      </c>
      <c r="D814" s="52" t="s">
        <v>1024</v>
      </c>
      <c r="E814" s="52">
        <v>290</v>
      </c>
      <c r="F814" s="52">
        <v>1053</v>
      </c>
      <c r="G814" s="52">
        <v>305370</v>
      </c>
      <c r="H814" s="52" t="s">
        <v>1025</v>
      </c>
      <c r="I814" s="52" t="s">
        <v>1026</v>
      </c>
      <c r="J814" s="53" t="s">
        <v>1031</v>
      </c>
    </row>
    <row r="815" spans="1:10" x14ac:dyDescent="0.25">
      <c r="A815" s="52" t="s">
        <v>823</v>
      </c>
      <c r="B815" s="53">
        <v>45668</v>
      </c>
      <c r="C815" s="52" t="s">
        <v>1010</v>
      </c>
      <c r="D815" s="52" t="s">
        <v>1017</v>
      </c>
      <c r="E815" s="52">
        <v>193</v>
      </c>
      <c r="F815" s="52">
        <v>417</v>
      </c>
      <c r="G815" s="52">
        <v>80481</v>
      </c>
      <c r="H815" s="52" t="s">
        <v>1027</v>
      </c>
      <c r="I815" s="52" t="s">
        <v>1026</v>
      </c>
      <c r="J815" s="53" t="s">
        <v>1031</v>
      </c>
    </row>
    <row r="816" spans="1:10" x14ac:dyDescent="0.25">
      <c r="A816" s="52" t="s">
        <v>824</v>
      </c>
      <c r="B816" s="53">
        <v>45990</v>
      </c>
      <c r="C816" s="52" t="s">
        <v>1013</v>
      </c>
      <c r="D816" s="52" t="s">
        <v>1022</v>
      </c>
      <c r="E816" s="52">
        <v>371</v>
      </c>
      <c r="F816" s="52">
        <v>646</v>
      </c>
      <c r="G816" s="52">
        <v>239666</v>
      </c>
      <c r="H816" s="52" t="s">
        <v>1030</v>
      </c>
      <c r="I816" s="52" t="s">
        <v>1029</v>
      </c>
      <c r="J816" s="53" t="s">
        <v>1031</v>
      </c>
    </row>
    <row r="817" spans="1:10" x14ac:dyDescent="0.25">
      <c r="A817" s="52" t="s">
        <v>825</v>
      </c>
      <c r="B817" s="53">
        <v>45683</v>
      </c>
      <c r="C817" s="52" t="s">
        <v>1011</v>
      </c>
      <c r="D817" s="52" t="s">
        <v>1023</v>
      </c>
      <c r="E817" s="52">
        <v>441</v>
      </c>
      <c r="F817" s="52">
        <v>532</v>
      </c>
      <c r="G817" s="52">
        <v>234612</v>
      </c>
      <c r="H817" s="52" t="s">
        <v>1030</v>
      </c>
      <c r="I817" s="52" t="s">
        <v>1028</v>
      </c>
      <c r="J817" s="53">
        <v>45697</v>
      </c>
    </row>
    <row r="818" spans="1:10" x14ac:dyDescent="0.25">
      <c r="A818" s="52" t="s">
        <v>826</v>
      </c>
      <c r="B818" s="53">
        <v>46013</v>
      </c>
      <c r="C818" s="52" t="s">
        <v>1011</v>
      </c>
      <c r="D818" s="52" t="s">
        <v>1015</v>
      </c>
      <c r="E818" s="52">
        <v>164</v>
      </c>
      <c r="F818" s="52">
        <v>1591</v>
      </c>
      <c r="G818" s="52">
        <v>260924</v>
      </c>
      <c r="H818" s="52" t="s">
        <v>1030</v>
      </c>
      <c r="I818" s="52" t="s">
        <v>1026</v>
      </c>
      <c r="J818" s="53" t="s">
        <v>1031</v>
      </c>
    </row>
    <row r="819" spans="1:10" x14ac:dyDescent="0.25">
      <c r="A819" s="52" t="s">
        <v>827</v>
      </c>
      <c r="B819" s="53">
        <v>45804</v>
      </c>
      <c r="C819" s="52" t="s">
        <v>1012</v>
      </c>
      <c r="D819" s="52" t="s">
        <v>1024</v>
      </c>
      <c r="E819" s="52">
        <v>155</v>
      </c>
      <c r="F819" s="52">
        <v>797</v>
      </c>
      <c r="G819" s="52">
        <v>123535</v>
      </c>
      <c r="H819" s="52" t="s">
        <v>1030</v>
      </c>
      <c r="I819" s="52" t="s">
        <v>1029</v>
      </c>
      <c r="J819" s="53" t="s">
        <v>1031</v>
      </c>
    </row>
    <row r="820" spans="1:10" x14ac:dyDescent="0.25">
      <c r="A820" s="52" t="s">
        <v>828</v>
      </c>
      <c r="B820" s="53">
        <v>45995</v>
      </c>
      <c r="C820" s="52" t="s">
        <v>1012</v>
      </c>
      <c r="D820" s="52" t="s">
        <v>1017</v>
      </c>
      <c r="E820" s="52">
        <v>338</v>
      </c>
      <c r="F820" s="52">
        <v>1242</v>
      </c>
      <c r="G820" s="52">
        <v>419796</v>
      </c>
      <c r="H820" s="52" t="s">
        <v>1030</v>
      </c>
      <c r="I820" s="52" t="s">
        <v>1029</v>
      </c>
      <c r="J820" s="53" t="s">
        <v>1031</v>
      </c>
    </row>
    <row r="821" spans="1:10" x14ac:dyDescent="0.25">
      <c r="A821" s="52" t="s">
        <v>829</v>
      </c>
      <c r="B821" s="53">
        <v>45965</v>
      </c>
      <c r="C821" s="52" t="s">
        <v>1013</v>
      </c>
      <c r="D821" s="52" t="s">
        <v>1022</v>
      </c>
      <c r="E821" s="52">
        <v>3</v>
      </c>
      <c r="F821" s="52">
        <v>1178</v>
      </c>
      <c r="G821" s="52">
        <v>3534</v>
      </c>
      <c r="H821" s="52" t="s">
        <v>1030</v>
      </c>
      <c r="I821" s="52" t="s">
        <v>1026</v>
      </c>
      <c r="J821" s="53" t="s">
        <v>1031</v>
      </c>
    </row>
    <row r="822" spans="1:10" x14ac:dyDescent="0.25">
      <c r="A822" s="52" t="s">
        <v>830</v>
      </c>
      <c r="B822" s="53">
        <v>45899</v>
      </c>
      <c r="C822" s="52" t="s">
        <v>1014</v>
      </c>
      <c r="D822" s="52" t="s">
        <v>1021</v>
      </c>
      <c r="E822" s="52">
        <v>435</v>
      </c>
      <c r="F822" s="52">
        <v>401</v>
      </c>
      <c r="G822" s="52">
        <v>174435</v>
      </c>
      <c r="H822" s="52" t="s">
        <v>1030</v>
      </c>
      <c r="I822" s="52" t="s">
        <v>1028</v>
      </c>
      <c r="J822" s="53">
        <v>45906</v>
      </c>
    </row>
    <row r="823" spans="1:10" x14ac:dyDescent="0.25">
      <c r="A823" s="52" t="s">
        <v>831</v>
      </c>
      <c r="B823" s="53">
        <v>46030</v>
      </c>
      <c r="C823" s="52" t="s">
        <v>1010</v>
      </c>
      <c r="D823" s="52" t="s">
        <v>1023</v>
      </c>
      <c r="E823" s="52">
        <v>288</v>
      </c>
      <c r="F823" s="52">
        <v>1165</v>
      </c>
      <c r="G823" s="52">
        <v>335520</v>
      </c>
      <c r="H823" s="52" t="s">
        <v>1025</v>
      </c>
      <c r="I823" s="52" t="s">
        <v>1029</v>
      </c>
      <c r="J823" s="53" t="s">
        <v>1031</v>
      </c>
    </row>
    <row r="824" spans="1:10" x14ac:dyDescent="0.25">
      <c r="A824" s="52" t="s">
        <v>832</v>
      </c>
      <c r="B824" s="53">
        <v>45973</v>
      </c>
      <c r="C824" s="52" t="s">
        <v>1010</v>
      </c>
      <c r="D824" s="52" t="s">
        <v>1015</v>
      </c>
      <c r="E824" s="52">
        <v>192</v>
      </c>
      <c r="F824" s="52">
        <v>1478</v>
      </c>
      <c r="G824" s="52">
        <v>283776</v>
      </c>
      <c r="H824" s="52" t="s">
        <v>1030</v>
      </c>
      <c r="I824" s="52" t="s">
        <v>1028</v>
      </c>
      <c r="J824" s="53">
        <v>45983</v>
      </c>
    </row>
    <row r="825" spans="1:10" x14ac:dyDescent="0.25">
      <c r="A825" s="52" t="s">
        <v>833</v>
      </c>
      <c r="B825" s="53">
        <v>45882</v>
      </c>
      <c r="C825" s="52" t="s">
        <v>1012</v>
      </c>
      <c r="D825" s="52" t="s">
        <v>1021</v>
      </c>
      <c r="E825" s="52">
        <v>410</v>
      </c>
      <c r="F825" s="52">
        <v>1334</v>
      </c>
      <c r="G825" s="52">
        <v>546940</v>
      </c>
      <c r="H825" s="52" t="s">
        <v>1027</v>
      </c>
      <c r="I825" s="52" t="s">
        <v>1029</v>
      </c>
      <c r="J825" s="53" t="s">
        <v>1031</v>
      </c>
    </row>
    <row r="826" spans="1:10" x14ac:dyDescent="0.25">
      <c r="A826" s="52" t="s">
        <v>834</v>
      </c>
      <c r="B826" s="53">
        <v>45919</v>
      </c>
      <c r="C826" s="52" t="s">
        <v>1011</v>
      </c>
      <c r="D826" s="52" t="s">
        <v>1015</v>
      </c>
      <c r="E826" s="52">
        <v>199</v>
      </c>
      <c r="F826" s="52">
        <v>306</v>
      </c>
      <c r="G826" s="52">
        <v>60894</v>
      </c>
      <c r="H826" s="52" t="s">
        <v>1030</v>
      </c>
      <c r="I826" s="52" t="s">
        <v>1028</v>
      </c>
      <c r="J826" s="53">
        <v>45933</v>
      </c>
    </row>
    <row r="827" spans="1:10" x14ac:dyDescent="0.25">
      <c r="A827" s="52" t="s">
        <v>835</v>
      </c>
      <c r="B827" s="53">
        <v>45905</v>
      </c>
      <c r="C827" s="52" t="s">
        <v>1012</v>
      </c>
      <c r="D827" s="52" t="s">
        <v>1018</v>
      </c>
      <c r="E827" s="52">
        <v>331</v>
      </c>
      <c r="F827" s="52">
        <v>1447</v>
      </c>
      <c r="G827" s="52">
        <v>478957</v>
      </c>
      <c r="H827" s="52" t="s">
        <v>1030</v>
      </c>
      <c r="I827" s="52" t="s">
        <v>1028</v>
      </c>
      <c r="J827" s="53">
        <v>45917</v>
      </c>
    </row>
    <row r="828" spans="1:10" x14ac:dyDescent="0.25">
      <c r="A828" s="52" t="s">
        <v>836</v>
      </c>
      <c r="B828" s="53">
        <v>45746</v>
      </c>
      <c r="C828" s="52" t="s">
        <v>1014</v>
      </c>
      <c r="D828" s="52" t="s">
        <v>1021</v>
      </c>
      <c r="E828" s="52">
        <v>107</v>
      </c>
      <c r="F828" s="52">
        <v>507</v>
      </c>
      <c r="G828" s="52">
        <v>54249</v>
      </c>
      <c r="H828" s="52" t="s">
        <v>1025</v>
      </c>
      <c r="I828" s="52" t="s">
        <v>1026</v>
      </c>
      <c r="J828" s="53" t="s">
        <v>1031</v>
      </c>
    </row>
    <row r="829" spans="1:10" x14ac:dyDescent="0.25">
      <c r="A829" s="52" t="s">
        <v>837</v>
      </c>
      <c r="B829" s="53">
        <v>45827</v>
      </c>
      <c r="C829" s="52" t="s">
        <v>1010</v>
      </c>
      <c r="D829" s="52" t="s">
        <v>1016</v>
      </c>
      <c r="E829" s="52">
        <v>408</v>
      </c>
      <c r="F829" s="52">
        <v>1336</v>
      </c>
      <c r="G829" s="52">
        <v>545088</v>
      </c>
      <c r="H829" s="52" t="s">
        <v>1030</v>
      </c>
      <c r="I829" s="52" t="s">
        <v>1029</v>
      </c>
      <c r="J829" s="53" t="s">
        <v>1031</v>
      </c>
    </row>
    <row r="830" spans="1:10" x14ac:dyDescent="0.25">
      <c r="A830" s="52" t="s">
        <v>838</v>
      </c>
      <c r="B830" s="53">
        <v>45670</v>
      </c>
      <c r="C830" s="52" t="s">
        <v>1010</v>
      </c>
      <c r="D830" s="52" t="s">
        <v>1022</v>
      </c>
      <c r="E830" s="52">
        <v>47</v>
      </c>
      <c r="F830" s="52">
        <v>653</v>
      </c>
      <c r="G830" s="52">
        <v>30691</v>
      </c>
      <c r="H830" s="52" t="s">
        <v>1025</v>
      </c>
      <c r="I830" s="52" t="s">
        <v>1026</v>
      </c>
      <c r="J830" s="53" t="s">
        <v>1031</v>
      </c>
    </row>
    <row r="831" spans="1:10" x14ac:dyDescent="0.25">
      <c r="A831" s="52" t="s">
        <v>839</v>
      </c>
      <c r="B831" s="53">
        <v>45833</v>
      </c>
      <c r="C831" s="52" t="s">
        <v>1014</v>
      </c>
      <c r="D831" s="52" t="s">
        <v>1021</v>
      </c>
      <c r="E831" s="52">
        <v>417</v>
      </c>
      <c r="F831" s="52">
        <v>329</v>
      </c>
      <c r="G831" s="52">
        <v>137193</v>
      </c>
      <c r="H831" s="52" t="s">
        <v>1027</v>
      </c>
      <c r="I831" s="52" t="s">
        <v>1026</v>
      </c>
      <c r="J831" s="53" t="s">
        <v>1031</v>
      </c>
    </row>
    <row r="832" spans="1:10" x14ac:dyDescent="0.25">
      <c r="A832" s="52" t="s">
        <v>840</v>
      </c>
      <c r="B832" s="53">
        <v>45722</v>
      </c>
      <c r="C832" s="52" t="s">
        <v>1011</v>
      </c>
      <c r="D832" s="52" t="s">
        <v>1022</v>
      </c>
      <c r="E832" s="52">
        <v>148</v>
      </c>
      <c r="F832" s="52">
        <v>1341</v>
      </c>
      <c r="G832" s="52">
        <v>198468</v>
      </c>
      <c r="H832" s="52" t="s">
        <v>1027</v>
      </c>
      <c r="I832" s="52" t="s">
        <v>1028</v>
      </c>
      <c r="J832" s="53">
        <v>45727</v>
      </c>
    </row>
    <row r="833" spans="1:10" x14ac:dyDescent="0.25">
      <c r="A833" s="52" t="s">
        <v>841</v>
      </c>
      <c r="B833" s="53">
        <v>45693</v>
      </c>
      <c r="C833" s="52" t="s">
        <v>1014</v>
      </c>
      <c r="D833" s="52" t="s">
        <v>1018</v>
      </c>
      <c r="E833" s="52">
        <v>495</v>
      </c>
      <c r="F833" s="52">
        <v>687</v>
      </c>
      <c r="G833" s="52">
        <v>340065</v>
      </c>
      <c r="H833" s="52" t="s">
        <v>1025</v>
      </c>
      <c r="I833" s="52" t="s">
        <v>1028</v>
      </c>
      <c r="J833" s="53">
        <v>45703</v>
      </c>
    </row>
    <row r="834" spans="1:10" x14ac:dyDescent="0.25">
      <c r="A834" s="52" t="s">
        <v>842</v>
      </c>
      <c r="B834" s="53">
        <v>45728</v>
      </c>
      <c r="C834" s="52" t="s">
        <v>1013</v>
      </c>
      <c r="D834" s="52" t="s">
        <v>1015</v>
      </c>
      <c r="E834" s="52">
        <v>212</v>
      </c>
      <c r="F834" s="52">
        <v>18</v>
      </c>
      <c r="G834" s="52">
        <v>3816</v>
      </c>
      <c r="H834" s="52" t="s">
        <v>1030</v>
      </c>
      <c r="I834" s="52" t="s">
        <v>1028</v>
      </c>
      <c r="J834" s="53">
        <v>45733</v>
      </c>
    </row>
    <row r="835" spans="1:10" x14ac:dyDescent="0.25">
      <c r="A835" s="52" t="s">
        <v>843</v>
      </c>
      <c r="B835" s="53">
        <v>45903</v>
      </c>
      <c r="C835" s="52" t="s">
        <v>1012</v>
      </c>
      <c r="D835" s="52" t="s">
        <v>1016</v>
      </c>
      <c r="E835" s="52">
        <v>482</v>
      </c>
      <c r="F835" s="52">
        <v>102</v>
      </c>
      <c r="G835" s="52">
        <v>49164</v>
      </c>
      <c r="H835" s="52" t="s">
        <v>1027</v>
      </c>
      <c r="I835" s="52" t="s">
        <v>1026</v>
      </c>
      <c r="J835" s="53" t="s">
        <v>1031</v>
      </c>
    </row>
    <row r="836" spans="1:10" x14ac:dyDescent="0.25">
      <c r="A836" s="52" t="s">
        <v>844</v>
      </c>
      <c r="B836" s="53">
        <v>46025</v>
      </c>
      <c r="C836" s="52" t="s">
        <v>1012</v>
      </c>
      <c r="D836" s="52" t="s">
        <v>1023</v>
      </c>
      <c r="E836" s="52">
        <v>329</v>
      </c>
      <c r="F836" s="52">
        <v>325</v>
      </c>
      <c r="G836" s="52">
        <v>106925</v>
      </c>
      <c r="H836" s="52" t="s">
        <v>1025</v>
      </c>
      <c r="I836" s="52" t="s">
        <v>1028</v>
      </c>
      <c r="J836" s="53">
        <v>46031</v>
      </c>
    </row>
    <row r="837" spans="1:10" x14ac:dyDescent="0.25">
      <c r="A837" s="52" t="s">
        <v>845</v>
      </c>
      <c r="B837" s="53">
        <v>45869</v>
      </c>
      <c r="C837" s="52" t="s">
        <v>1012</v>
      </c>
      <c r="D837" s="52" t="s">
        <v>1015</v>
      </c>
      <c r="E837" s="52">
        <v>92</v>
      </c>
      <c r="F837" s="52">
        <v>800</v>
      </c>
      <c r="G837" s="52">
        <v>73600</v>
      </c>
      <c r="H837" s="52" t="s">
        <v>1025</v>
      </c>
      <c r="I837" s="52" t="s">
        <v>1028</v>
      </c>
      <c r="J837" s="53">
        <v>45874</v>
      </c>
    </row>
    <row r="838" spans="1:10" x14ac:dyDescent="0.25">
      <c r="A838" s="52" t="s">
        <v>846</v>
      </c>
      <c r="B838" s="53">
        <v>45912</v>
      </c>
      <c r="C838" s="52" t="s">
        <v>1010</v>
      </c>
      <c r="D838" s="52" t="s">
        <v>1021</v>
      </c>
      <c r="E838" s="52">
        <v>322</v>
      </c>
      <c r="F838" s="52">
        <v>116</v>
      </c>
      <c r="G838" s="52">
        <v>37352</v>
      </c>
      <c r="H838" s="52" t="s">
        <v>1027</v>
      </c>
      <c r="I838" s="52" t="s">
        <v>1029</v>
      </c>
      <c r="J838" s="53" t="s">
        <v>1031</v>
      </c>
    </row>
    <row r="839" spans="1:10" x14ac:dyDescent="0.25">
      <c r="A839" s="52" t="s">
        <v>847</v>
      </c>
      <c r="B839" s="53">
        <v>45987</v>
      </c>
      <c r="C839" s="52" t="s">
        <v>1011</v>
      </c>
      <c r="D839" s="52" t="s">
        <v>1018</v>
      </c>
      <c r="E839" s="52">
        <v>117</v>
      </c>
      <c r="F839" s="52">
        <v>81</v>
      </c>
      <c r="G839" s="52">
        <v>9477</v>
      </c>
      <c r="H839" s="52" t="s">
        <v>1027</v>
      </c>
      <c r="I839" s="52" t="s">
        <v>1026</v>
      </c>
      <c r="J839" s="53" t="s">
        <v>1031</v>
      </c>
    </row>
    <row r="840" spans="1:10" x14ac:dyDescent="0.25">
      <c r="A840" s="52" t="s">
        <v>848</v>
      </c>
      <c r="B840" s="53">
        <v>45765</v>
      </c>
      <c r="C840" s="52" t="s">
        <v>1010</v>
      </c>
      <c r="D840" s="52" t="s">
        <v>1020</v>
      </c>
      <c r="E840" s="52">
        <v>85</v>
      </c>
      <c r="F840" s="52">
        <v>888</v>
      </c>
      <c r="G840" s="52">
        <v>75480</v>
      </c>
      <c r="H840" s="52" t="s">
        <v>1030</v>
      </c>
      <c r="I840" s="52" t="s">
        <v>1028</v>
      </c>
      <c r="J840" s="53">
        <v>45776</v>
      </c>
    </row>
    <row r="841" spans="1:10" x14ac:dyDescent="0.25">
      <c r="A841" s="52" t="s">
        <v>849</v>
      </c>
      <c r="B841" s="53">
        <v>45986</v>
      </c>
      <c r="C841" s="52" t="s">
        <v>1012</v>
      </c>
      <c r="D841" s="52" t="s">
        <v>1018</v>
      </c>
      <c r="E841" s="52">
        <v>151</v>
      </c>
      <c r="F841" s="52">
        <v>974</v>
      </c>
      <c r="G841" s="52">
        <v>147074</v>
      </c>
      <c r="H841" s="52" t="s">
        <v>1027</v>
      </c>
      <c r="I841" s="52" t="s">
        <v>1028</v>
      </c>
      <c r="J841" s="53">
        <v>45998</v>
      </c>
    </row>
    <row r="842" spans="1:10" x14ac:dyDescent="0.25">
      <c r="A842" s="52" t="s">
        <v>850</v>
      </c>
      <c r="B842" s="53">
        <v>45994</v>
      </c>
      <c r="C842" s="52" t="s">
        <v>1013</v>
      </c>
      <c r="D842" s="52" t="s">
        <v>1017</v>
      </c>
      <c r="E842" s="52">
        <v>204</v>
      </c>
      <c r="F842" s="52">
        <v>942</v>
      </c>
      <c r="G842" s="52">
        <v>192168</v>
      </c>
      <c r="H842" s="52" t="s">
        <v>1027</v>
      </c>
      <c r="I842" s="52" t="s">
        <v>1028</v>
      </c>
      <c r="J842" s="53">
        <v>46008</v>
      </c>
    </row>
    <row r="843" spans="1:10" x14ac:dyDescent="0.25">
      <c r="A843" s="52" t="s">
        <v>851</v>
      </c>
      <c r="B843" s="53">
        <v>45762</v>
      </c>
      <c r="C843" s="52" t="s">
        <v>1010</v>
      </c>
      <c r="D843" s="52" t="s">
        <v>1021</v>
      </c>
      <c r="E843" s="52">
        <v>468</v>
      </c>
      <c r="F843" s="52">
        <v>1156</v>
      </c>
      <c r="G843" s="52">
        <v>541008</v>
      </c>
      <c r="H843" s="52" t="s">
        <v>1025</v>
      </c>
      <c r="I843" s="52" t="s">
        <v>1026</v>
      </c>
      <c r="J843" s="53" t="s">
        <v>1031</v>
      </c>
    </row>
    <row r="844" spans="1:10" x14ac:dyDescent="0.25">
      <c r="A844" s="52" t="s">
        <v>852</v>
      </c>
      <c r="B844" s="53">
        <v>45796</v>
      </c>
      <c r="C844" s="52" t="s">
        <v>1011</v>
      </c>
      <c r="D844" s="52" t="s">
        <v>1022</v>
      </c>
      <c r="E844" s="52">
        <v>363</v>
      </c>
      <c r="F844" s="52">
        <v>1340</v>
      </c>
      <c r="G844" s="52">
        <v>486420</v>
      </c>
      <c r="H844" s="52" t="s">
        <v>1025</v>
      </c>
      <c r="I844" s="52" t="s">
        <v>1028</v>
      </c>
      <c r="J844" s="53">
        <v>45804</v>
      </c>
    </row>
    <row r="845" spans="1:10" x14ac:dyDescent="0.25">
      <c r="A845" s="52" t="s">
        <v>853</v>
      </c>
      <c r="B845" s="53">
        <v>45978</v>
      </c>
      <c r="C845" s="52" t="s">
        <v>1012</v>
      </c>
      <c r="D845" s="52" t="s">
        <v>1018</v>
      </c>
      <c r="E845" s="52">
        <v>332</v>
      </c>
      <c r="F845" s="52">
        <v>597</v>
      </c>
      <c r="G845" s="52">
        <v>198204</v>
      </c>
      <c r="H845" s="52" t="s">
        <v>1027</v>
      </c>
      <c r="I845" s="52" t="s">
        <v>1029</v>
      </c>
      <c r="J845" s="53" t="s">
        <v>1031</v>
      </c>
    </row>
    <row r="846" spans="1:10" x14ac:dyDescent="0.25">
      <c r="A846" s="52" t="s">
        <v>854</v>
      </c>
      <c r="B846" s="53">
        <v>45763</v>
      </c>
      <c r="C846" s="52" t="s">
        <v>1014</v>
      </c>
      <c r="D846" s="52" t="s">
        <v>1020</v>
      </c>
      <c r="E846" s="52">
        <v>161</v>
      </c>
      <c r="F846" s="52">
        <v>1723</v>
      </c>
      <c r="G846" s="52">
        <v>277403</v>
      </c>
      <c r="H846" s="52" t="s">
        <v>1027</v>
      </c>
      <c r="I846" s="52" t="s">
        <v>1026</v>
      </c>
      <c r="J846" s="53" t="s">
        <v>1031</v>
      </c>
    </row>
    <row r="847" spans="1:10" x14ac:dyDescent="0.25">
      <c r="A847" s="52" t="s">
        <v>855</v>
      </c>
      <c r="B847" s="53">
        <v>45960</v>
      </c>
      <c r="C847" s="52" t="s">
        <v>1010</v>
      </c>
      <c r="D847" s="52" t="s">
        <v>1023</v>
      </c>
      <c r="E847" s="52">
        <v>387</v>
      </c>
      <c r="F847" s="52">
        <v>1541</v>
      </c>
      <c r="G847" s="52">
        <v>596367</v>
      </c>
      <c r="H847" s="52" t="s">
        <v>1030</v>
      </c>
      <c r="I847" s="52" t="s">
        <v>1028</v>
      </c>
      <c r="J847" s="53">
        <v>45969</v>
      </c>
    </row>
    <row r="848" spans="1:10" x14ac:dyDescent="0.25">
      <c r="A848" s="52" t="s">
        <v>856</v>
      </c>
      <c r="B848" s="53">
        <v>45889</v>
      </c>
      <c r="C848" s="52" t="s">
        <v>1012</v>
      </c>
      <c r="D848" s="52" t="s">
        <v>1022</v>
      </c>
      <c r="E848" s="52">
        <v>77</v>
      </c>
      <c r="F848" s="52">
        <v>1389</v>
      </c>
      <c r="G848" s="52">
        <v>106953</v>
      </c>
      <c r="H848" s="52" t="s">
        <v>1030</v>
      </c>
      <c r="I848" s="52" t="s">
        <v>1026</v>
      </c>
      <c r="J848" s="53" t="s">
        <v>1031</v>
      </c>
    </row>
    <row r="849" spans="1:10" x14ac:dyDescent="0.25">
      <c r="A849" s="52" t="s">
        <v>857</v>
      </c>
      <c r="B849" s="53">
        <v>45757</v>
      </c>
      <c r="C849" s="52" t="s">
        <v>1012</v>
      </c>
      <c r="D849" s="52" t="s">
        <v>1020</v>
      </c>
      <c r="E849" s="52">
        <v>163</v>
      </c>
      <c r="F849" s="52">
        <v>1537</v>
      </c>
      <c r="G849" s="52">
        <v>250531</v>
      </c>
      <c r="H849" s="52" t="s">
        <v>1025</v>
      </c>
      <c r="I849" s="52" t="s">
        <v>1029</v>
      </c>
      <c r="J849" s="53" t="s">
        <v>1031</v>
      </c>
    </row>
    <row r="850" spans="1:10" x14ac:dyDescent="0.25">
      <c r="A850" s="52" t="s">
        <v>858</v>
      </c>
      <c r="B850" s="53">
        <v>45916</v>
      </c>
      <c r="C850" s="52" t="s">
        <v>1010</v>
      </c>
      <c r="D850" s="52" t="s">
        <v>1016</v>
      </c>
      <c r="E850" s="52">
        <v>267</v>
      </c>
      <c r="F850" s="52">
        <v>1480</v>
      </c>
      <c r="G850" s="52">
        <v>395160</v>
      </c>
      <c r="H850" s="52" t="s">
        <v>1030</v>
      </c>
      <c r="I850" s="52" t="s">
        <v>1026</v>
      </c>
      <c r="J850" s="53" t="s">
        <v>1031</v>
      </c>
    </row>
    <row r="851" spans="1:10" x14ac:dyDescent="0.25">
      <c r="A851" s="52" t="s">
        <v>859</v>
      </c>
      <c r="B851" s="53">
        <v>45903</v>
      </c>
      <c r="C851" s="52" t="s">
        <v>1014</v>
      </c>
      <c r="D851" s="52" t="s">
        <v>1022</v>
      </c>
      <c r="E851" s="52">
        <v>67</v>
      </c>
      <c r="F851" s="52">
        <v>1737</v>
      </c>
      <c r="G851" s="52">
        <v>116379</v>
      </c>
      <c r="H851" s="52" t="s">
        <v>1030</v>
      </c>
      <c r="I851" s="52" t="s">
        <v>1028</v>
      </c>
      <c r="J851" s="53">
        <v>45917</v>
      </c>
    </row>
    <row r="852" spans="1:10" x14ac:dyDescent="0.25">
      <c r="A852" s="52" t="s">
        <v>860</v>
      </c>
      <c r="B852" s="53">
        <v>46017</v>
      </c>
      <c r="C852" s="52" t="s">
        <v>1014</v>
      </c>
      <c r="D852" s="52" t="s">
        <v>1016</v>
      </c>
      <c r="E852" s="52">
        <v>476</v>
      </c>
      <c r="F852" s="52">
        <v>1493</v>
      </c>
      <c r="G852" s="52">
        <v>710668</v>
      </c>
      <c r="H852" s="52" t="s">
        <v>1027</v>
      </c>
      <c r="I852" s="52" t="s">
        <v>1028</v>
      </c>
      <c r="J852" s="53">
        <v>46023</v>
      </c>
    </row>
    <row r="853" spans="1:10" x14ac:dyDescent="0.25">
      <c r="A853" s="52" t="s">
        <v>861</v>
      </c>
      <c r="B853" s="53">
        <v>45777</v>
      </c>
      <c r="C853" s="52" t="s">
        <v>1012</v>
      </c>
      <c r="D853" s="52" t="s">
        <v>1024</v>
      </c>
      <c r="E853" s="52">
        <v>95</v>
      </c>
      <c r="F853" s="52">
        <v>487</v>
      </c>
      <c r="G853" s="52">
        <v>46265</v>
      </c>
      <c r="H853" s="52" t="s">
        <v>1027</v>
      </c>
      <c r="I853" s="52" t="s">
        <v>1029</v>
      </c>
      <c r="J853" s="53" t="s">
        <v>1031</v>
      </c>
    </row>
    <row r="854" spans="1:10" x14ac:dyDescent="0.25">
      <c r="A854" s="52" t="s">
        <v>862</v>
      </c>
      <c r="B854" s="53">
        <v>45771</v>
      </c>
      <c r="C854" s="52" t="s">
        <v>1011</v>
      </c>
      <c r="D854" s="52" t="s">
        <v>1024</v>
      </c>
      <c r="E854" s="52">
        <v>162</v>
      </c>
      <c r="F854" s="52">
        <v>860</v>
      </c>
      <c r="G854" s="52">
        <v>139320</v>
      </c>
      <c r="H854" s="52" t="s">
        <v>1030</v>
      </c>
      <c r="I854" s="52" t="s">
        <v>1028</v>
      </c>
      <c r="J854" s="53">
        <v>45785</v>
      </c>
    </row>
    <row r="855" spans="1:10" x14ac:dyDescent="0.25">
      <c r="A855" s="52" t="s">
        <v>863</v>
      </c>
      <c r="B855" s="53">
        <v>45718</v>
      </c>
      <c r="C855" s="52" t="s">
        <v>1012</v>
      </c>
      <c r="D855" s="52" t="s">
        <v>1017</v>
      </c>
      <c r="E855" s="52">
        <v>115</v>
      </c>
      <c r="F855" s="52">
        <v>873</v>
      </c>
      <c r="G855" s="52">
        <v>100395</v>
      </c>
      <c r="H855" s="52" t="s">
        <v>1027</v>
      </c>
      <c r="I855" s="52" t="s">
        <v>1026</v>
      </c>
      <c r="J855" s="53" t="s">
        <v>1031</v>
      </c>
    </row>
    <row r="856" spans="1:10" x14ac:dyDescent="0.25">
      <c r="A856" s="52" t="s">
        <v>864</v>
      </c>
      <c r="B856" s="53">
        <v>45725</v>
      </c>
      <c r="C856" s="52" t="s">
        <v>1012</v>
      </c>
      <c r="D856" s="52" t="s">
        <v>1022</v>
      </c>
      <c r="E856" s="52">
        <v>423</v>
      </c>
      <c r="F856" s="52">
        <v>1786</v>
      </c>
      <c r="G856" s="52">
        <v>755478</v>
      </c>
      <c r="H856" s="52" t="s">
        <v>1027</v>
      </c>
      <c r="I856" s="52" t="s">
        <v>1028</v>
      </c>
      <c r="J856" s="53">
        <v>45732</v>
      </c>
    </row>
    <row r="857" spans="1:10" x14ac:dyDescent="0.25">
      <c r="A857" s="52" t="s">
        <v>865</v>
      </c>
      <c r="B857" s="53">
        <v>45840</v>
      </c>
      <c r="C857" s="52" t="s">
        <v>1012</v>
      </c>
      <c r="D857" s="52" t="s">
        <v>1017</v>
      </c>
      <c r="E857" s="52">
        <v>336</v>
      </c>
      <c r="F857" s="52">
        <v>371</v>
      </c>
      <c r="G857" s="52">
        <v>124656</v>
      </c>
      <c r="H857" s="52" t="s">
        <v>1030</v>
      </c>
      <c r="I857" s="52" t="s">
        <v>1028</v>
      </c>
      <c r="J857" s="53">
        <v>45845</v>
      </c>
    </row>
    <row r="858" spans="1:10" x14ac:dyDescent="0.25">
      <c r="A858" s="52" t="s">
        <v>866</v>
      </c>
      <c r="B858" s="53">
        <v>45787</v>
      </c>
      <c r="C858" s="52" t="s">
        <v>1014</v>
      </c>
      <c r="D858" s="52" t="s">
        <v>1024</v>
      </c>
      <c r="E858" s="52">
        <v>432</v>
      </c>
      <c r="F858" s="52">
        <v>970</v>
      </c>
      <c r="G858" s="52">
        <v>419040</v>
      </c>
      <c r="H858" s="52" t="s">
        <v>1030</v>
      </c>
      <c r="I858" s="52" t="s">
        <v>1028</v>
      </c>
      <c r="J858" s="53">
        <v>45795</v>
      </c>
    </row>
    <row r="859" spans="1:10" x14ac:dyDescent="0.25">
      <c r="A859" s="52" t="s">
        <v>867</v>
      </c>
      <c r="B859" s="53">
        <v>45762</v>
      </c>
      <c r="C859" s="52" t="s">
        <v>1013</v>
      </c>
      <c r="D859" s="52" t="s">
        <v>1017</v>
      </c>
      <c r="E859" s="52">
        <v>316</v>
      </c>
      <c r="F859" s="52">
        <v>110</v>
      </c>
      <c r="G859" s="52">
        <v>34760</v>
      </c>
      <c r="H859" s="52" t="s">
        <v>1025</v>
      </c>
      <c r="I859" s="52" t="s">
        <v>1026</v>
      </c>
      <c r="J859" s="53" t="s">
        <v>1031</v>
      </c>
    </row>
    <row r="860" spans="1:10" x14ac:dyDescent="0.25">
      <c r="A860" s="52" t="s">
        <v>868</v>
      </c>
      <c r="B860" s="53">
        <v>45786</v>
      </c>
      <c r="C860" s="52" t="s">
        <v>1011</v>
      </c>
      <c r="D860" s="52" t="s">
        <v>1016</v>
      </c>
      <c r="E860" s="52">
        <v>377</v>
      </c>
      <c r="F860" s="52">
        <v>385</v>
      </c>
      <c r="G860" s="52">
        <v>145145</v>
      </c>
      <c r="H860" s="52" t="s">
        <v>1025</v>
      </c>
      <c r="I860" s="52" t="s">
        <v>1029</v>
      </c>
      <c r="J860" s="53" t="s">
        <v>1031</v>
      </c>
    </row>
    <row r="861" spans="1:10" x14ac:dyDescent="0.25">
      <c r="A861" s="52" t="s">
        <v>869</v>
      </c>
      <c r="B861" s="53">
        <v>45824</v>
      </c>
      <c r="C861" s="52" t="s">
        <v>1010</v>
      </c>
      <c r="D861" s="52" t="s">
        <v>1019</v>
      </c>
      <c r="E861" s="52">
        <v>341</v>
      </c>
      <c r="F861" s="52">
        <v>1493</v>
      </c>
      <c r="G861" s="52">
        <v>509113</v>
      </c>
      <c r="H861" s="52" t="s">
        <v>1027</v>
      </c>
      <c r="I861" s="52" t="s">
        <v>1028</v>
      </c>
      <c r="J861" s="53">
        <v>45837</v>
      </c>
    </row>
    <row r="862" spans="1:10" x14ac:dyDescent="0.25">
      <c r="A862" s="52" t="s">
        <v>870</v>
      </c>
      <c r="B862" s="53">
        <v>45747</v>
      </c>
      <c r="C862" s="52" t="s">
        <v>1011</v>
      </c>
      <c r="D862" s="52" t="s">
        <v>1019</v>
      </c>
      <c r="E862" s="52">
        <v>203</v>
      </c>
      <c r="F862" s="52">
        <v>1314</v>
      </c>
      <c r="G862" s="52">
        <v>266742</v>
      </c>
      <c r="H862" s="52" t="s">
        <v>1030</v>
      </c>
      <c r="I862" s="52" t="s">
        <v>1028</v>
      </c>
      <c r="J862" s="53">
        <v>45761</v>
      </c>
    </row>
    <row r="863" spans="1:10" x14ac:dyDescent="0.25">
      <c r="A863" s="52" t="s">
        <v>871</v>
      </c>
      <c r="B863" s="53">
        <v>45785</v>
      </c>
      <c r="C863" s="52" t="s">
        <v>1011</v>
      </c>
      <c r="D863" s="52" t="s">
        <v>1019</v>
      </c>
      <c r="E863" s="52">
        <v>433</v>
      </c>
      <c r="F863" s="52">
        <v>767</v>
      </c>
      <c r="G863" s="52">
        <v>332111</v>
      </c>
      <c r="H863" s="52" t="s">
        <v>1025</v>
      </c>
      <c r="I863" s="52" t="s">
        <v>1029</v>
      </c>
      <c r="J863" s="53" t="s">
        <v>1031</v>
      </c>
    </row>
    <row r="864" spans="1:10" x14ac:dyDescent="0.25">
      <c r="A864" s="52" t="s">
        <v>872</v>
      </c>
      <c r="B864" s="53">
        <v>46004</v>
      </c>
      <c r="C864" s="52" t="s">
        <v>1011</v>
      </c>
      <c r="D864" s="52" t="s">
        <v>1016</v>
      </c>
      <c r="E864" s="52">
        <v>157</v>
      </c>
      <c r="F864" s="52">
        <v>1455</v>
      </c>
      <c r="G864" s="52">
        <v>228435</v>
      </c>
      <c r="H864" s="52" t="s">
        <v>1027</v>
      </c>
      <c r="I864" s="52" t="s">
        <v>1026</v>
      </c>
      <c r="J864" s="53" t="s">
        <v>1031</v>
      </c>
    </row>
    <row r="865" spans="1:10" x14ac:dyDescent="0.25">
      <c r="A865" s="52" t="s">
        <v>873</v>
      </c>
      <c r="B865" s="53">
        <v>45745</v>
      </c>
      <c r="C865" s="52" t="s">
        <v>1014</v>
      </c>
      <c r="D865" s="52" t="s">
        <v>1019</v>
      </c>
      <c r="E865" s="52">
        <v>472</v>
      </c>
      <c r="F865" s="52">
        <v>1960</v>
      </c>
      <c r="G865" s="52">
        <v>925120</v>
      </c>
      <c r="H865" s="52" t="s">
        <v>1027</v>
      </c>
      <c r="I865" s="52" t="s">
        <v>1026</v>
      </c>
      <c r="J865" s="53" t="s">
        <v>1031</v>
      </c>
    </row>
    <row r="866" spans="1:10" x14ac:dyDescent="0.25">
      <c r="A866" s="52" t="s">
        <v>874</v>
      </c>
      <c r="B866" s="53">
        <v>45952</v>
      </c>
      <c r="C866" s="52" t="s">
        <v>1013</v>
      </c>
      <c r="D866" s="52" t="s">
        <v>1023</v>
      </c>
      <c r="E866" s="52">
        <v>416</v>
      </c>
      <c r="F866" s="52">
        <v>489</v>
      </c>
      <c r="G866" s="52">
        <v>203424</v>
      </c>
      <c r="H866" s="52" t="s">
        <v>1027</v>
      </c>
      <c r="I866" s="52" t="s">
        <v>1029</v>
      </c>
      <c r="J866" s="53" t="s">
        <v>1031</v>
      </c>
    </row>
    <row r="867" spans="1:10" x14ac:dyDescent="0.25">
      <c r="A867" s="52" t="s">
        <v>875</v>
      </c>
      <c r="B867" s="53">
        <v>45855</v>
      </c>
      <c r="C867" s="52" t="s">
        <v>1013</v>
      </c>
      <c r="D867" s="52" t="s">
        <v>1019</v>
      </c>
      <c r="E867" s="52">
        <v>140</v>
      </c>
      <c r="F867" s="52">
        <v>841</v>
      </c>
      <c r="G867" s="52">
        <v>117740</v>
      </c>
      <c r="H867" s="52" t="s">
        <v>1025</v>
      </c>
      <c r="I867" s="52" t="s">
        <v>1026</v>
      </c>
      <c r="J867" s="53" t="s">
        <v>1031</v>
      </c>
    </row>
    <row r="868" spans="1:10" x14ac:dyDescent="0.25">
      <c r="A868" s="52" t="s">
        <v>876</v>
      </c>
      <c r="B868" s="53">
        <v>45777</v>
      </c>
      <c r="C868" s="52" t="s">
        <v>1014</v>
      </c>
      <c r="D868" s="52" t="s">
        <v>1022</v>
      </c>
      <c r="E868" s="52">
        <v>185</v>
      </c>
      <c r="F868" s="52">
        <v>1739</v>
      </c>
      <c r="G868" s="52">
        <v>321715</v>
      </c>
      <c r="H868" s="52" t="s">
        <v>1025</v>
      </c>
      <c r="I868" s="52" t="s">
        <v>1028</v>
      </c>
      <c r="J868" s="53">
        <v>45783</v>
      </c>
    </row>
    <row r="869" spans="1:10" x14ac:dyDescent="0.25">
      <c r="A869" s="52" t="s">
        <v>877</v>
      </c>
      <c r="B869" s="53">
        <v>45907</v>
      </c>
      <c r="C869" s="52" t="s">
        <v>1010</v>
      </c>
      <c r="D869" s="52" t="s">
        <v>1021</v>
      </c>
      <c r="E869" s="52">
        <v>243</v>
      </c>
      <c r="F869" s="52">
        <v>1417</v>
      </c>
      <c r="G869" s="52">
        <v>344331</v>
      </c>
      <c r="H869" s="52" t="s">
        <v>1027</v>
      </c>
      <c r="I869" s="52" t="s">
        <v>1026</v>
      </c>
      <c r="J869" s="53" t="s">
        <v>1031</v>
      </c>
    </row>
    <row r="870" spans="1:10" x14ac:dyDescent="0.25">
      <c r="A870" s="52" t="s">
        <v>878</v>
      </c>
      <c r="B870" s="53">
        <v>45781</v>
      </c>
      <c r="C870" s="52" t="s">
        <v>1014</v>
      </c>
      <c r="D870" s="52" t="s">
        <v>1016</v>
      </c>
      <c r="E870" s="52">
        <v>82</v>
      </c>
      <c r="F870" s="52">
        <v>1162</v>
      </c>
      <c r="G870" s="52">
        <v>95284</v>
      </c>
      <c r="H870" s="52" t="s">
        <v>1030</v>
      </c>
      <c r="I870" s="52" t="s">
        <v>1026</v>
      </c>
      <c r="J870" s="53" t="s">
        <v>1031</v>
      </c>
    </row>
    <row r="871" spans="1:10" x14ac:dyDescent="0.25">
      <c r="A871" s="52" t="s">
        <v>879</v>
      </c>
      <c r="B871" s="53">
        <v>45664</v>
      </c>
      <c r="C871" s="52" t="s">
        <v>1014</v>
      </c>
      <c r="D871" s="52" t="s">
        <v>1017</v>
      </c>
      <c r="E871" s="52">
        <v>499</v>
      </c>
      <c r="F871" s="52">
        <v>690</v>
      </c>
      <c r="G871" s="52">
        <v>344310</v>
      </c>
      <c r="H871" s="52" t="s">
        <v>1027</v>
      </c>
      <c r="I871" s="52" t="s">
        <v>1029</v>
      </c>
      <c r="J871" s="53" t="s">
        <v>1031</v>
      </c>
    </row>
    <row r="872" spans="1:10" x14ac:dyDescent="0.25">
      <c r="A872" s="52" t="s">
        <v>880</v>
      </c>
      <c r="B872" s="53">
        <v>45791</v>
      </c>
      <c r="C872" s="52" t="s">
        <v>1014</v>
      </c>
      <c r="D872" s="52" t="s">
        <v>1018</v>
      </c>
      <c r="E872" s="52">
        <v>157</v>
      </c>
      <c r="F872" s="52">
        <v>1293</v>
      </c>
      <c r="G872" s="52">
        <v>203001</v>
      </c>
      <c r="H872" s="52" t="s">
        <v>1030</v>
      </c>
      <c r="I872" s="52" t="s">
        <v>1026</v>
      </c>
      <c r="J872" s="53" t="s">
        <v>1031</v>
      </c>
    </row>
    <row r="873" spans="1:10" x14ac:dyDescent="0.25">
      <c r="A873" s="52" t="s">
        <v>881</v>
      </c>
      <c r="B873" s="53">
        <v>45717</v>
      </c>
      <c r="C873" s="52" t="s">
        <v>1013</v>
      </c>
      <c r="D873" s="52" t="s">
        <v>1021</v>
      </c>
      <c r="E873" s="52">
        <v>325</v>
      </c>
      <c r="F873" s="52">
        <v>1594</v>
      </c>
      <c r="G873" s="52">
        <v>518050</v>
      </c>
      <c r="H873" s="52" t="s">
        <v>1027</v>
      </c>
      <c r="I873" s="52" t="s">
        <v>1026</v>
      </c>
      <c r="J873" s="53" t="s">
        <v>1031</v>
      </c>
    </row>
    <row r="874" spans="1:10" x14ac:dyDescent="0.25">
      <c r="A874" s="52" t="s">
        <v>882</v>
      </c>
      <c r="B874" s="53">
        <v>45860</v>
      </c>
      <c r="C874" s="52" t="s">
        <v>1011</v>
      </c>
      <c r="D874" s="52" t="s">
        <v>1024</v>
      </c>
      <c r="E874" s="52">
        <v>238</v>
      </c>
      <c r="F874" s="52">
        <v>896</v>
      </c>
      <c r="G874" s="52">
        <v>213248</v>
      </c>
      <c r="H874" s="52" t="s">
        <v>1025</v>
      </c>
      <c r="I874" s="52" t="s">
        <v>1026</v>
      </c>
      <c r="J874" s="53" t="s">
        <v>1031</v>
      </c>
    </row>
    <row r="875" spans="1:10" x14ac:dyDescent="0.25">
      <c r="A875" s="52" t="s">
        <v>883</v>
      </c>
      <c r="B875" s="53">
        <v>45825</v>
      </c>
      <c r="C875" s="52" t="s">
        <v>1011</v>
      </c>
      <c r="D875" s="52" t="s">
        <v>1016</v>
      </c>
      <c r="E875" s="52">
        <v>414</v>
      </c>
      <c r="F875" s="52">
        <v>460</v>
      </c>
      <c r="G875" s="52">
        <v>190440</v>
      </c>
      <c r="H875" s="52" t="s">
        <v>1030</v>
      </c>
      <c r="I875" s="52" t="s">
        <v>1029</v>
      </c>
      <c r="J875" s="53" t="s">
        <v>1031</v>
      </c>
    </row>
    <row r="876" spans="1:10" x14ac:dyDescent="0.25">
      <c r="A876" s="52" t="s">
        <v>884</v>
      </c>
      <c r="B876" s="53">
        <v>45668</v>
      </c>
      <c r="C876" s="52" t="s">
        <v>1010</v>
      </c>
      <c r="D876" s="52" t="s">
        <v>1023</v>
      </c>
      <c r="E876" s="52">
        <v>369</v>
      </c>
      <c r="F876" s="52">
        <v>1115</v>
      </c>
      <c r="G876" s="52">
        <v>411435</v>
      </c>
      <c r="H876" s="52" t="s">
        <v>1025</v>
      </c>
      <c r="I876" s="52" t="s">
        <v>1029</v>
      </c>
      <c r="J876" s="53" t="s">
        <v>1031</v>
      </c>
    </row>
    <row r="877" spans="1:10" x14ac:dyDescent="0.25">
      <c r="A877" s="52" t="s">
        <v>885</v>
      </c>
      <c r="B877" s="53">
        <v>45931</v>
      </c>
      <c r="C877" s="52" t="s">
        <v>1013</v>
      </c>
      <c r="D877" s="52" t="s">
        <v>1023</v>
      </c>
      <c r="E877" s="52">
        <v>221</v>
      </c>
      <c r="F877" s="52">
        <v>896</v>
      </c>
      <c r="G877" s="52">
        <v>198016</v>
      </c>
      <c r="H877" s="52" t="s">
        <v>1027</v>
      </c>
      <c r="I877" s="52" t="s">
        <v>1029</v>
      </c>
      <c r="J877" s="53" t="s">
        <v>1031</v>
      </c>
    </row>
    <row r="878" spans="1:10" x14ac:dyDescent="0.25">
      <c r="A878" s="52" t="s">
        <v>886</v>
      </c>
      <c r="B878" s="53">
        <v>45849</v>
      </c>
      <c r="C878" s="52" t="s">
        <v>1013</v>
      </c>
      <c r="D878" s="52" t="s">
        <v>1021</v>
      </c>
      <c r="E878" s="52">
        <v>453</v>
      </c>
      <c r="F878" s="52">
        <v>181</v>
      </c>
      <c r="G878" s="52">
        <v>81993</v>
      </c>
      <c r="H878" s="52" t="s">
        <v>1030</v>
      </c>
      <c r="I878" s="52" t="s">
        <v>1028</v>
      </c>
      <c r="J878" s="53">
        <v>45854</v>
      </c>
    </row>
    <row r="879" spans="1:10" x14ac:dyDescent="0.25">
      <c r="A879" s="52" t="s">
        <v>887</v>
      </c>
      <c r="B879" s="53">
        <v>45919</v>
      </c>
      <c r="C879" s="52" t="s">
        <v>1013</v>
      </c>
      <c r="D879" s="52" t="s">
        <v>1015</v>
      </c>
      <c r="E879" s="52">
        <v>90</v>
      </c>
      <c r="F879" s="52">
        <v>1695</v>
      </c>
      <c r="G879" s="52">
        <v>152550</v>
      </c>
      <c r="H879" s="52" t="s">
        <v>1030</v>
      </c>
      <c r="I879" s="52" t="s">
        <v>1026</v>
      </c>
      <c r="J879" s="53" t="s">
        <v>1031</v>
      </c>
    </row>
    <row r="880" spans="1:10" x14ac:dyDescent="0.25">
      <c r="A880" s="52" t="s">
        <v>888</v>
      </c>
      <c r="B880" s="53">
        <v>45660</v>
      </c>
      <c r="C880" s="52" t="s">
        <v>1010</v>
      </c>
      <c r="D880" s="52" t="s">
        <v>1020</v>
      </c>
      <c r="E880" s="52">
        <v>261</v>
      </c>
      <c r="F880" s="52">
        <v>146</v>
      </c>
      <c r="G880" s="52">
        <v>38106</v>
      </c>
      <c r="H880" s="52" t="s">
        <v>1025</v>
      </c>
      <c r="I880" s="52" t="s">
        <v>1029</v>
      </c>
      <c r="J880" s="53" t="s">
        <v>1031</v>
      </c>
    </row>
    <row r="881" spans="1:10" x14ac:dyDescent="0.25">
      <c r="A881" s="52" t="s">
        <v>889</v>
      </c>
      <c r="B881" s="53">
        <v>45741</v>
      </c>
      <c r="C881" s="52" t="s">
        <v>1014</v>
      </c>
      <c r="D881" s="52" t="s">
        <v>1016</v>
      </c>
      <c r="E881" s="52">
        <v>75</v>
      </c>
      <c r="F881" s="52">
        <v>1852</v>
      </c>
      <c r="G881" s="52">
        <v>138900</v>
      </c>
      <c r="H881" s="52" t="s">
        <v>1030</v>
      </c>
      <c r="I881" s="52" t="s">
        <v>1026</v>
      </c>
      <c r="J881" s="53" t="s">
        <v>1031</v>
      </c>
    </row>
    <row r="882" spans="1:10" x14ac:dyDescent="0.25">
      <c r="A882" s="52" t="s">
        <v>890</v>
      </c>
      <c r="B882" s="53">
        <v>45887</v>
      </c>
      <c r="C882" s="52" t="s">
        <v>1012</v>
      </c>
      <c r="D882" s="52" t="s">
        <v>1021</v>
      </c>
      <c r="E882" s="52">
        <v>57</v>
      </c>
      <c r="F882" s="52">
        <v>1523</v>
      </c>
      <c r="G882" s="52">
        <v>86811</v>
      </c>
      <c r="H882" s="52" t="s">
        <v>1030</v>
      </c>
      <c r="I882" s="52" t="s">
        <v>1026</v>
      </c>
      <c r="J882" s="53" t="s">
        <v>1031</v>
      </c>
    </row>
    <row r="883" spans="1:10" x14ac:dyDescent="0.25">
      <c r="A883" s="52" t="s">
        <v>891</v>
      </c>
      <c r="B883" s="53">
        <v>45838</v>
      </c>
      <c r="C883" s="52" t="s">
        <v>1014</v>
      </c>
      <c r="D883" s="52" t="s">
        <v>1017</v>
      </c>
      <c r="E883" s="52">
        <v>176</v>
      </c>
      <c r="F883" s="52">
        <v>265</v>
      </c>
      <c r="G883" s="52">
        <v>46640</v>
      </c>
      <c r="H883" s="52" t="s">
        <v>1027</v>
      </c>
      <c r="I883" s="52" t="s">
        <v>1026</v>
      </c>
      <c r="J883" s="53" t="s">
        <v>1031</v>
      </c>
    </row>
    <row r="884" spans="1:10" x14ac:dyDescent="0.25">
      <c r="A884" s="52" t="s">
        <v>892</v>
      </c>
      <c r="B884" s="53">
        <v>45968</v>
      </c>
      <c r="C884" s="52" t="s">
        <v>1014</v>
      </c>
      <c r="D884" s="52" t="s">
        <v>1021</v>
      </c>
      <c r="E884" s="52">
        <v>131</v>
      </c>
      <c r="F884" s="52">
        <v>1120</v>
      </c>
      <c r="G884" s="52">
        <v>146720</v>
      </c>
      <c r="H884" s="52" t="s">
        <v>1027</v>
      </c>
      <c r="I884" s="52" t="s">
        <v>1026</v>
      </c>
      <c r="J884" s="53" t="s">
        <v>1031</v>
      </c>
    </row>
    <row r="885" spans="1:10" x14ac:dyDescent="0.25">
      <c r="A885" s="52" t="s">
        <v>893</v>
      </c>
      <c r="B885" s="53">
        <v>45993</v>
      </c>
      <c r="C885" s="52" t="s">
        <v>1012</v>
      </c>
      <c r="D885" s="52" t="s">
        <v>1023</v>
      </c>
      <c r="E885" s="52">
        <v>277</v>
      </c>
      <c r="F885" s="52">
        <v>1897</v>
      </c>
      <c r="G885" s="52">
        <v>525469</v>
      </c>
      <c r="H885" s="52" t="s">
        <v>1025</v>
      </c>
      <c r="I885" s="52" t="s">
        <v>1029</v>
      </c>
      <c r="J885" s="53" t="s">
        <v>1031</v>
      </c>
    </row>
    <row r="886" spans="1:10" x14ac:dyDescent="0.25">
      <c r="A886" s="52" t="s">
        <v>894</v>
      </c>
      <c r="B886" s="53">
        <v>45733</v>
      </c>
      <c r="C886" s="52" t="s">
        <v>1013</v>
      </c>
      <c r="D886" s="52" t="s">
        <v>1015</v>
      </c>
      <c r="E886" s="52">
        <v>142</v>
      </c>
      <c r="F886" s="52">
        <v>1085</v>
      </c>
      <c r="G886" s="52">
        <v>154070</v>
      </c>
      <c r="H886" s="52" t="s">
        <v>1025</v>
      </c>
      <c r="I886" s="52" t="s">
        <v>1026</v>
      </c>
      <c r="J886" s="53" t="s">
        <v>1031</v>
      </c>
    </row>
    <row r="887" spans="1:10" x14ac:dyDescent="0.25">
      <c r="A887" s="52" t="s">
        <v>895</v>
      </c>
      <c r="B887" s="53">
        <v>45841</v>
      </c>
      <c r="C887" s="52" t="s">
        <v>1010</v>
      </c>
      <c r="D887" s="52" t="s">
        <v>1015</v>
      </c>
      <c r="E887" s="52">
        <v>362</v>
      </c>
      <c r="F887" s="52">
        <v>11</v>
      </c>
      <c r="G887" s="52">
        <v>3982</v>
      </c>
      <c r="H887" s="52" t="s">
        <v>1025</v>
      </c>
      <c r="I887" s="52" t="s">
        <v>1028</v>
      </c>
      <c r="J887" s="53">
        <v>45855</v>
      </c>
    </row>
    <row r="888" spans="1:10" x14ac:dyDescent="0.25">
      <c r="A888" s="52" t="s">
        <v>896</v>
      </c>
      <c r="B888" s="53">
        <v>46047</v>
      </c>
      <c r="C888" s="52" t="s">
        <v>1011</v>
      </c>
      <c r="D888" s="52" t="s">
        <v>1019</v>
      </c>
      <c r="E888" s="52">
        <v>9</v>
      </c>
      <c r="F888" s="52">
        <v>1070</v>
      </c>
      <c r="G888" s="52">
        <v>9630</v>
      </c>
      <c r="H888" s="52" t="s">
        <v>1030</v>
      </c>
      <c r="I888" s="52" t="s">
        <v>1028</v>
      </c>
      <c r="J888" s="53">
        <v>46061</v>
      </c>
    </row>
    <row r="889" spans="1:10" x14ac:dyDescent="0.25">
      <c r="A889" s="52" t="s">
        <v>897</v>
      </c>
      <c r="B889" s="53">
        <v>45947</v>
      </c>
      <c r="C889" s="52" t="s">
        <v>1011</v>
      </c>
      <c r="D889" s="52" t="s">
        <v>1021</v>
      </c>
      <c r="E889" s="52">
        <v>320</v>
      </c>
      <c r="F889" s="52">
        <v>1846</v>
      </c>
      <c r="G889" s="52">
        <v>590720</v>
      </c>
      <c r="H889" s="52" t="s">
        <v>1025</v>
      </c>
      <c r="I889" s="52" t="s">
        <v>1026</v>
      </c>
      <c r="J889" s="53" t="s">
        <v>1031</v>
      </c>
    </row>
    <row r="890" spans="1:10" x14ac:dyDescent="0.25">
      <c r="A890" s="52" t="s">
        <v>898</v>
      </c>
      <c r="B890" s="53">
        <v>46007</v>
      </c>
      <c r="C890" s="52" t="s">
        <v>1011</v>
      </c>
      <c r="D890" s="52" t="s">
        <v>1022</v>
      </c>
      <c r="E890" s="52">
        <v>153</v>
      </c>
      <c r="F890" s="52">
        <v>545</v>
      </c>
      <c r="G890" s="52">
        <v>83385</v>
      </c>
      <c r="H890" s="52" t="s">
        <v>1030</v>
      </c>
      <c r="I890" s="52" t="s">
        <v>1026</v>
      </c>
      <c r="J890" s="53" t="s">
        <v>1031</v>
      </c>
    </row>
    <row r="891" spans="1:10" x14ac:dyDescent="0.25">
      <c r="A891" s="52" t="s">
        <v>899</v>
      </c>
      <c r="B891" s="53">
        <v>46037</v>
      </c>
      <c r="C891" s="52" t="s">
        <v>1012</v>
      </c>
      <c r="D891" s="52" t="s">
        <v>1018</v>
      </c>
      <c r="E891" s="52">
        <v>334</v>
      </c>
      <c r="F891" s="52">
        <v>1162</v>
      </c>
      <c r="G891" s="52">
        <v>388108</v>
      </c>
      <c r="H891" s="52" t="s">
        <v>1025</v>
      </c>
      <c r="I891" s="52" t="s">
        <v>1026</v>
      </c>
      <c r="J891" s="53" t="s">
        <v>1031</v>
      </c>
    </row>
    <row r="892" spans="1:10" x14ac:dyDescent="0.25">
      <c r="A892" s="52" t="s">
        <v>900</v>
      </c>
      <c r="B892" s="53">
        <v>45721</v>
      </c>
      <c r="C892" s="52" t="s">
        <v>1014</v>
      </c>
      <c r="D892" s="52" t="s">
        <v>1016</v>
      </c>
      <c r="E892" s="52">
        <v>108</v>
      </c>
      <c r="F892" s="52">
        <v>1889</v>
      </c>
      <c r="G892" s="52">
        <v>204012</v>
      </c>
      <c r="H892" s="52" t="s">
        <v>1025</v>
      </c>
      <c r="I892" s="52" t="s">
        <v>1026</v>
      </c>
      <c r="J892" s="53" t="s">
        <v>1031</v>
      </c>
    </row>
    <row r="893" spans="1:10" x14ac:dyDescent="0.25">
      <c r="A893" s="52" t="s">
        <v>901</v>
      </c>
      <c r="B893" s="53">
        <v>45947</v>
      </c>
      <c r="C893" s="52" t="s">
        <v>1011</v>
      </c>
      <c r="D893" s="52" t="s">
        <v>1018</v>
      </c>
      <c r="E893" s="52">
        <v>182</v>
      </c>
      <c r="F893" s="52">
        <v>1705</v>
      </c>
      <c r="G893" s="52">
        <v>310310</v>
      </c>
      <c r="H893" s="52" t="s">
        <v>1030</v>
      </c>
      <c r="I893" s="52" t="s">
        <v>1029</v>
      </c>
      <c r="J893" s="53" t="s">
        <v>1031</v>
      </c>
    </row>
    <row r="894" spans="1:10" x14ac:dyDescent="0.25">
      <c r="A894" s="52" t="s">
        <v>902</v>
      </c>
      <c r="B894" s="53">
        <v>45706</v>
      </c>
      <c r="C894" s="52" t="s">
        <v>1011</v>
      </c>
      <c r="D894" s="52" t="s">
        <v>1022</v>
      </c>
      <c r="E894" s="52">
        <v>458</v>
      </c>
      <c r="F894" s="52">
        <v>195</v>
      </c>
      <c r="G894" s="52">
        <v>89310</v>
      </c>
      <c r="H894" s="52" t="s">
        <v>1025</v>
      </c>
      <c r="I894" s="52" t="s">
        <v>1026</v>
      </c>
      <c r="J894" s="53" t="s">
        <v>1031</v>
      </c>
    </row>
    <row r="895" spans="1:10" x14ac:dyDescent="0.25">
      <c r="A895" s="52" t="s">
        <v>903</v>
      </c>
      <c r="B895" s="53">
        <v>46013</v>
      </c>
      <c r="C895" s="52" t="s">
        <v>1011</v>
      </c>
      <c r="D895" s="52" t="s">
        <v>1022</v>
      </c>
      <c r="E895" s="52">
        <v>85</v>
      </c>
      <c r="F895" s="52">
        <v>866</v>
      </c>
      <c r="G895" s="52">
        <v>73610</v>
      </c>
      <c r="H895" s="52" t="s">
        <v>1027</v>
      </c>
      <c r="I895" s="52" t="s">
        <v>1029</v>
      </c>
      <c r="J895" s="53" t="s">
        <v>1031</v>
      </c>
    </row>
    <row r="896" spans="1:10" x14ac:dyDescent="0.25">
      <c r="A896" s="52" t="s">
        <v>904</v>
      </c>
      <c r="B896" s="53">
        <v>45889</v>
      </c>
      <c r="C896" s="52" t="s">
        <v>1010</v>
      </c>
      <c r="D896" s="52" t="s">
        <v>1021</v>
      </c>
      <c r="E896" s="52">
        <v>69</v>
      </c>
      <c r="F896" s="52">
        <v>1831</v>
      </c>
      <c r="G896" s="52">
        <v>126339</v>
      </c>
      <c r="H896" s="52" t="s">
        <v>1025</v>
      </c>
      <c r="I896" s="52" t="s">
        <v>1028</v>
      </c>
      <c r="J896" s="53">
        <v>45896</v>
      </c>
    </row>
    <row r="897" spans="1:10" x14ac:dyDescent="0.25">
      <c r="A897" s="52" t="s">
        <v>905</v>
      </c>
      <c r="B897" s="53">
        <v>45725</v>
      </c>
      <c r="C897" s="52" t="s">
        <v>1013</v>
      </c>
      <c r="D897" s="52" t="s">
        <v>1016</v>
      </c>
      <c r="E897" s="52">
        <v>249</v>
      </c>
      <c r="F897" s="52">
        <v>604</v>
      </c>
      <c r="G897" s="52">
        <v>150396</v>
      </c>
      <c r="H897" s="52" t="s">
        <v>1025</v>
      </c>
      <c r="I897" s="52" t="s">
        <v>1029</v>
      </c>
      <c r="J897" s="53" t="s">
        <v>1031</v>
      </c>
    </row>
    <row r="898" spans="1:10" x14ac:dyDescent="0.25">
      <c r="A898" s="52" t="s">
        <v>906</v>
      </c>
      <c r="B898" s="53">
        <v>45986</v>
      </c>
      <c r="C898" s="52" t="s">
        <v>1011</v>
      </c>
      <c r="D898" s="52" t="s">
        <v>1017</v>
      </c>
      <c r="E898" s="52">
        <v>306</v>
      </c>
      <c r="F898" s="52">
        <v>433</v>
      </c>
      <c r="G898" s="52">
        <v>132498</v>
      </c>
      <c r="H898" s="52" t="s">
        <v>1025</v>
      </c>
      <c r="I898" s="52" t="s">
        <v>1028</v>
      </c>
      <c r="J898" s="53">
        <v>45994</v>
      </c>
    </row>
    <row r="899" spans="1:10" x14ac:dyDescent="0.25">
      <c r="A899" s="52" t="s">
        <v>907</v>
      </c>
      <c r="B899" s="53">
        <v>45776</v>
      </c>
      <c r="C899" s="52" t="s">
        <v>1010</v>
      </c>
      <c r="D899" s="52" t="s">
        <v>1023</v>
      </c>
      <c r="E899" s="52">
        <v>414</v>
      </c>
      <c r="F899" s="52">
        <v>16</v>
      </c>
      <c r="G899" s="52">
        <v>6624</v>
      </c>
      <c r="H899" s="52" t="s">
        <v>1025</v>
      </c>
      <c r="I899" s="52" t="s">
        <v>1029</v>
      </c>
      <c r="J899" s="53" t="s">
        <v>1031</v>
      </c>
    </row>
    <row r="900" spans="1:10" x14ac:dyDescent="0.25">
      <c r="A900" s="52" t="s">
        <v>908</v>
      </c>
      <c r="B900" s="53">
        <v>45865</v>
      </c>
      <c r="C900" s="52" t="s">
        <v>1010</v>
      </c>
      <c r="D900" s="52" t="s">
        <v>1019</v>
      </c>
      <c r="E900" s="52">
        <v>363</v>
      </c>
      <c r="F900" s="52">
        <v>612</v>
      </c>
      <c r="G900" s="52">
        <v>222156</v>
      </c>
      <c r="H900" s="52" t="s">
        <v>1025</v>
      </c>
      <c r="I900" s="52" t="s">
        <v>1026</v>
      </c>
      <c r="J900" s="53" t="s">
        <v>1031</v>
      </c>
    </row>
    <row r="901" spans="1:10" x14ac:dyDescent="0.25">
      <c r="A901" s="52" t="s">
        <v>909</v>
      </c>
      <c r="B901" s="53">
        <v>45930</v>
      </c>
      <c r="C901" s="52" t="s">
        <v>1010</v>
      </c>
      <c r="D901" s="52" t="s">
        <v>1022</v>
      </c>
      <c r="E901" s="52">
        <v>298</v>
      </c>
      <c r="F901" s="52">
        <v>1799</v>
      </c>
      <c r="G901" s="52">
        <v>536102</v>
      </c>
      <c r="H901" s="52" t="s">
        <v>1030</v>
      </c>
      <c r="I901" s="52" t="s">
        <v>1028</v>
      </c>
      <c r="J901" s="53">
        <v>45939</v>
      </c>
    </row>
    <row r="902" spans="1:10" x14ac:dyDescent="0.25">
      <c r="A902" s="52" t="s">
        <v>910</v>
      </c>
      <c r="B902" s="53">
        <v>46038</v>
      </c>
      <c r="C902" s="52" t="s">
        <v>1014</v>
      </c>
      <c r="D902" s="52" t="s">
        <v>1016</v>
      </c>
      <c r="E902" s="52">
        <v>446</v>
      </c>
      <c r="F902" s="52">
        <v>334</v>
      </c>
      <c r="G902" s="52">
        <v>148964</v>
      </c>
      <c r="H902" s="52" t="s">
        <v>1027</v>
      </c>
      <c r="I902" s="52" t="s">
        <v>1029</v>
      </c>
      <c r="J902" s="53" t="s">
        <v>1031</v>
      </c>
    </row>
    <row r="903" spans="1:10" x14ac:dyDescent="0.25">
      <c r="A903" s="52" t="s">
        <v>911</v>
      </c>
      <c r="B903" s="53">
        <v>45867</v>
      </c>
      <c r="C903" s="52" t="s">
        <v>1010</v>
      </c>
      <c r="D903" s="52" t="s">
        <v>1023</v>
      </c>
      <c r="E903" s="52">
        <v>233</v>
      </c>
      <c r="F903" s="52">
        <v>805</v>
      </c>
      <c r="G903" s="52">
        <v>187565</v>
      </c>
      <c r="H903" s="52" t="s">
        <v>1027</v>
      </c>
      <c r="I903" s="52" t="s">
        <v>1026</v>
      </c>
      <c r="J903" s="53" t="s">
        <v>1031</v>
      </c>
    </row>
    <row r="904" spans="1:10" x14ac:dyDescent="0.25">
      <c r="A904" s="52" t="s">
        <v>912</v>
      </c>
      <c r="B904" s="53">
        <v>45739</v>
      </c>
      <c r="C904" s="52" t="s">
        <v>1011</v>
      </c>
      <c r="D904" s="52" t="s">
        <v>1022</v>
      </c>
      <c r="E904" s="52">
        <v>459</v>
      </c>
      <c r="F904" s="52">
        <v>1622</v>
      </c>
      <c r="G904" s="52">
        <v>744498</v>
      </c>
      <c r="H904" s="52" t="s">
        <v>1027</v>
      </c>
      <c r="I904" s="52" t="s">
        <v>1026</v>
      </c>
      <c r="J904" s="53" t="s">
        <v>1031</v>
      </c>
    </row>
    <row r="905" spans="1:10" x14ac:dyDescent="0.25">
      <c r="A905" s="52" t="s">
        <v>913</v>
      </c>
      <c r="B905" s="53">
        <v>45923</v>
      </c>
      <c r="C905" s="52" t="s">
        <v>1013</v>
      </c>
      <c r="D905" s="52" t="s">
        <v>1018</v>
      </c>
      <c r="E905" s="52">
        <v>95</v>
      </c>
      <c r="F905" s="52">
        <v>231</v>
      </c>
      <c r="G905" s="52">
        <v>21945</v>
      </c>
      <c r="H905" s="52" t="s">
        <v>1030</v>
      </c>
      <c r="I905" s="52" t="s">
        <v>1029</v>
      </c>
      <c r="J905" s="53" t="s">
        <v>1031</v>
      </c>
    </row>
    <row r="906" spans="1:10" x14ac:dyDescent="0.25">
      <c r="A906" s="52" t="s">
        <v>914</v>
      </c>
      <c r="B906" s="53">
        <v>45691</v>
      </c>
      <c r="C906" s="52" t="s">
        <v>1010</v>
      </c>
      <c r="D906" s="52" t="s">
        <v>1021</v>
      </c>
      <c r="E906" s="52">
        <v>430</v>
      </c>
      <c r="F906" s="52">
        <v>670</v>
      </c>
      <c r="G906" s="52">
        <v>288100</v>
      </c>
      <c r="H906" s="52" t="s">
        <v>1027</v>
      </c>
      <c r="I906" s="52" t="s">
        <v>1028</v>
      </c>
      <c r="J906" s="53">
        <v>45703</v>
      </c>
    </row>
    <row r="907" spans="1:10" x14ac:dyDescent="0.25">
      <c r="A907" s="52" t="s">
        <v>915</v>
      </c>
      <c r="B907" s="53">
        <v>45932</v>
      </c>
      <c r="C907" s="52" t="s">
        <v>1010</v>
      </c>
      <c r="D907" s="52" t="s">
        <v>1021</v>
      </c>
      <c r="E907" s="52">
        <v>300</v>
      </c>
      <c r="F907" s="52">
        <v>1524</v>
      </c>
      <c r="G907" s="52">
        <v>457200</v>
      </c>
      <c r="H907" s="52" t="s">
        <v>1030</v>
      </c>
      <c r="I907" s="52" t="s">
        <v>1028</v>
      </c>
      <c r="J907" s="53">
        <v>45943</v>
      </c>
    </row>
    <row r="908" spans="1:10" x14ac:dyDescent="0.25">
      <c r="A908" s="52" t="s">
        <v>916</v>
      </c>
      <c r="B908" s="53">
        <v>45821</v>
      </c>
      <c r="C908" s="52" t="s">
        <v>1014</v>
      </c>
      <c r="D908" s="52" t="s">
        <v>1024</v>
      </c>
      <c r="E908" s="52">
        <v>364</v>
      </c>
      <c r="F908" s="52">
        <v>1965</v>
      </c>
      <c r="G908" s="52">
        <v>715260</v>
      </c>
      <c r="H908" s="52" t="s">
        <v>1025</v>
      </c>
      <c r="I908" s="52" t="s">
        <v>1028</v>
      </c>
      <c r="J908" s="53">
        <v>45830</v>
      </c>
    </row>
    <row r="909" spans="1:10" x14ac:dyDescent="0.25">
      <c r="A909" s="52" t="s">
        <v>917</v>
      </c>
      <c r="B909" s="53">
        <v>45831</v>
      </c>
      <c r="C909" s="52" t="s">
        <v>1014</v>
      </c>
      <c r="D909" s="52" t="s">
        <v>1016</v>
      </c>
      <c r="E909" s="52">
        <v>228</v>
      </c>
      <c r="F909" s="52">
        <v>425</v>
      </c>
      <c r="G909" s="52">
        <v>96900</v>
      </c>
      <c r="H909" s="52" t="s">
        <v>1027</v>
      </c>
      <c r="I909" s="52" t="s">
        <v>1028</v>
      </c>
      <c r="J909" s="53">
        <v>45841</v>
      </c>
    </row>
    <row r="910" spans="1:10" x14ac:dyDescent="0.25">
      <c r="A910" s="52" t="s">
        <v>918</v>
      </c>
      <c r="B910" s="53">
        <v>46023</v>
      </c>
      <c r="C910" s="52" t="s">
        <v>1010</v>
      </c>
      <c r="D910" s="52" t="s">
        <v>1016</v>
      </c>
      <c r="E910" s="52">
        <v>213</v>
      </c>
      <c r="F910" s="52">
        <v>345</v>
      </c>
      <c r="G910" s="52">
        <v>73485</v>
      </c>
      <c r="H910" s="52" t="s">
        <v>1025</v>
      </c>
      <c r="I910" s="52" t="s">
        <v>1029</v>
      </c>
      <c r="J910" s="53" t="s">
        <v>1031</v>
      </c>
    </row>
    <row r="911" spans="1:10" x14ac:dyDescent="0.25">
      <c r="A911" s="52" t="s">
        <v>919</v>
      </c>
      <c r="B911" s="53">
        <v>45964</v>
      </c>
      <c r="C911" s="52" t="s">
        <v>1012</v>
      </c>
      <c r="D911" s="52" t="s">
        <v>1020</v>
      </c>
      <c r="E911" s="52">
        <v>134</v>
      </c>
      <c r="F911" s="52">
        <v>851</v>
      </c>
      <c r="G911" s="52">
        <v>114034</v>
      </c>
      <c r="H911" s="52" t="s">
        <v>1025</v>
      </c>
      <c r="I911" s="52" t="s">
        <v>1026</v>
      </c>
      <c r="J911" s="53" t="s">
        <v>1031</v>
      </c>
    </row>
    <row r="912" spans="1:10" x14ac:dyDescent="0.25">
      <c r="A912" s="52" t="s">
        <v>920</v>
      </c>
      <c r="B912" s="53">
        <v>45978</v>
      </c>
      <c r="C912" s="52" t="s">
        <v>1012</v>
      </c>
      <c r="D912" s="52" t="s">
        <v>1016</v>
      </c>
      <c r="E912" s="52">
        <v>104</v>
      </c>
      <c r="F912" s="52">
        <v>1854</v>
      </c>
      <c r="G912" s="52">
        <v>192816</v>
      </c>
      <c r="H912" s="52" t="s">
        <v>1030</v>
      </c>
      <c r="I912" s="52" t="s">
        <v>1029</v>
      </c>
      <c r="J912" s="53" t="s">
        <v>1031</v>
      </c>
    </row>
    <row r="913" spans="1:10" x14ac:dyDescent="0.25">
      <c r="A913" s="52" t="s">
        <v>921</v>
      </c>
      <c r="B913" s="53">
        <v>45891</v>
      </c>
      <c r="C913" s="52" t="s">
        <v>1011</v>
      </c>
      <c r="D913" s="52" t="s">
        <v>1017</v>
      </c>
      <c r="E913" s="52">
        <v>327</v>
      </c>
      <c r="F913" s="52">
        <v>1505</v>
      </c>
      <c r="G913" s="52">
        <v>492135</v>
      </c>
      <c r="H913" s="52" t="s">
        <v>1025</v>
      </c>
      <c r="I913" s="52" t="s">
        <v>1026</v>
      </c>
      <c r="J913" s="53" t="s">
        <v>1031</v>
      </c>
    </row>
    <row r="914" spans="1:10" x14ac:dyDescent="0.25">
      <c r="A914" s="52" t="s">
        <v>922</v>
      </c>
      <c r="B914" s="53">
        <v>45699</v>
      </c>
      <c r="C914" s="52" t="s">
        <v>1011</v>
      </c>
      <c r="D914" s="52" t="s">
        <v>1015</v>
      </c>
      <c r="E914" s="52">
        <v>195</v>
      </c>
      <c r="F914" s="52">
        <v>1321</v>
      </c>
      <c r="G914" s="52">
        <v>257595</v>
      </c>
      <c r="H914" s="52" t="s">
        <v>1030</v>
      </c>
      <c r="I914" s="52" t="s">
        <v>1026</v>
      </c>
      <c r="J914" s="53" t="s">
        <v>1031</v>
      </c>
    </row>
    <row r="915" spans="1:10" x14ac:dyDescent="0.25">
      <c r="A915" s="52" t="s">
        <v>923</v>
      </c>
      <c r="B915" s="53">
        <v>45941</v>
      </c>
      <c r="C915" s="52" t="s">
        <v>1013</v>
      </c>
      <c r="D915" s="52" t="s">
        <v>1023</v>
      </c>
      <c r="E915" s="52">
        <v>3</v>
      </c>
      <c r="F915" s="52">
        <v>150</v>
      </c>
      <c r="G915" s="52">
        <v>450</v>
      </c>
      <c r="H915" s="52" t="s">
        <v>1027</v>
      </c>
      <c r="I915" s="52" t="s">
        <v>1029</v>
      </c>
      <c r="J915" s="53" t="s">
        <v>1031</v>
      </c>
    </row>
    <row r="916" spans="1:10" x14ac:dyDescent="0.25">
      <c r="A916" s="52" t="s">
        <v>924</v>
      </c>
      <c r="B916" s="53">
        <v>45892</v>
      </c>
      <c r="C916" s="52" t="s">
        <v>1012</v>
      </c>
      <c r="D916" s="52" t="s">
        <v>1022</v>
      </c>
      <c r="E916" s="52">
        <v>129</v>
      </c>
      <c r="F916" s="52">
        <v>1595</v>
      </c>
      <c r="G916" s="52">
        <v>205755</v>
      </c>
      <c r="H916" s="52" t="s">
        <v>1030</v>
      </c>
      <c r="I916" s="52" t="s">
        <v>1028</v>
      </c>
      <c r="J916" s="53">
        <v>45903</v>
      </c>
    </row>
    <row r="917" spans="1:10" x14ac:dyDescent="0.25">
      <c r="A917" s="52" t="s">
        <v>925</v>
      </c>
      <c r="B917" s="53">
        <v>46042</v>
      </c>
      <c r="C917" s="52" t="s">
        <v>1013</v>
      </c>
      <c r="D917" s="52" t="s">
        <v>1016</v>
      </c>
      <c r="E917" s="52">
        <v>211</v>
      </c>
      <c r="F917" s="52">
        <v>72</v>
      </c>
      <c r="G917" s="52">
        <v>15192</v>
      </c>
      <c r="H917" s="52" t="s">
        <v>1030</v>
      </c>
      <c r="I917" s="52" t="s">
        <v>1026</v>
      </c>
      <c r="J917" s="53" t="s">
        <v>1031</v>
      </c>
    </row>
    <row r="918" spans="1:10" x14ac:dyDescent="0.25">
      <c r="A918" s="52" t="s">
        <v>926</v>
      </c>
      <c r="B918" s="53">
        <v>45754</v>
      </c>
      <c r="C918" s="52" t="s">
        <v>1014</v>
      </c>
      <c r="D918" s="52" t="s">
        <v>1017</v>
      </c>
      <c r="E918" s="52">
        <v>99</v>
      </c>
      <c r="F918" s="52">
        <v>396</v>
      </c>
      <c r="G918" s="52">
        <v>39204</v>
      </c>
      <c r="H918" s="52" t="s">
        <v>1030</v>
      </c>
      <c r="I918" s="52" t="s">
        <v>1026</v>
      </c>
      <c r="J918" s="53" t="s">
        <v>1031</v>
      </c>
    </row>
    <row r="919" spans="1:10" x14ac:dyDescent="0.25">
      <c r="A919" s="52" t="s">
        <v>927</v>
      </c>
      <c r="B919" s="53">
        <v>45990</v>
      </c>
      <c r="C919" s="52" t="s">
        <v>1010</v>
      </c>
      <c r="D919" s="52" t="s">
        <v>1018</v>
      </c>
      <c r="E919" s="52">
        <v>230</v>
      </c>
      <c r="F919" s="52">
        <v>1957</v>
      </c>
      <c r="G919" s="52">
        <v>450110</v>
      </c>
      <c r="H919" s="52" t="s">
        <v>1027</v>
      </c>
      <c r="I919" s="52" t="s">
        <v>1029</v>
      </c>
      <c r="J919" s="53" t="s">
        <v>1031</v>
      </c>
    </row>
    <row r="920" spans="1:10" x14ac:dyDescent="0.25">
      <c r="A920" s="52" t="s">
        <v>928</v>
      </c>
      <c r="B920" s="53">
        <v>45781</v>
      </c>
      <c r="C920" s="52" t="s">
        <v>1013</v>
      </c>
      <c r="D920" s="52" t="s">
        <v>1018</v>
      </c>
      <c r="E920" s="52">
        <v>137</v>
      </c>
      <c r="F920" s="52">
        <v>1606</v>
      </c>
      <c r="G920" s="52">
        <v>220022</v>
      </c>
      <c r="H920" s="52" t="s">
        <v>1030</v>
      </c>
      <c r="I920" s="52" t="s">
        <v>1028</v>
      </c>
      <c r="J920" s="53">
        <v>45793</v>
      </c>
    </row>
    <row r="921" spans="1:10" x14ac:dyDescent="0.25">
      <c r="A921" s="52" t="s">
        <v>929</v>
      </c>
      <c r="B921" s="53">
        <v>45988</v>
      </c>
      <c r="C921" s="52" t="s">
        <v>1012</v>
      </c>
      <c r="D921" s="52" t="s">
        <v>1016</v>
      </c>
      <c r="E921" s="52">
        <v>475</v>
      </c>
      <c r="F921" s="52">
        <v>1103</v>
      </c>
      <c r="G921" s="52">
        <v>523925</v>
      </c>
      <c r="H921" s="52" t="s">
        <v>1030</v>
      </c>
      <c r="I921" s="52" t="s">
        <v>1029</v>
      </c>
      <c r="J921" s="53" t="s">
        <v>1031</v>
      </c>
    </row>
    <row r="922" spans="1:10" x14ac:dyDescent="0.25">
      <c r="A922" s="52" t="s">
        <v>930</v>
      </c>
      <c r="B922" s="53">
        <v>45961</v>
      </c>
      <c r="C922" s="52" t="s">
        <v>1011</v>
      </c>
      <c r="D922" s="52" t="s">
        <v>1022</v>
      </c>
      <c r="E922" s="52">
        <v>182</v>
      </c>
      <c r="F922" s="52">
        <v>551</v>
      </c>
      <c r="G922" s="52">
        <v>100282</v>
      </c>
      <c r="H922" s="52" t="s">
        <v>1027</v>
      </c>
      <c r="I922" s="52" t="s">
        <v>1026</v>
      </c>
      <c r="J922" s="53" t="s">
        <v>1031</v>
      </c>
    </row>
    <row r="923" spans="1:10" x14ac:dyDescent="0.25">
      <c r="A923" s="52" t="s">
        <v>931</v>
      </c>
      <c r="B923" s="53">
        <v>46028</v>
      </c>
      <c r="C923" s="52" t="s">
        <v>1014</v>
      </c>
      <c r="D923" s="52" t="s">
        <v>1024</v>
      </c>
      <c r="E923" s="52">
        <v>332</v>
      </c>
      <c r="F923" s="52">
        <v>624</v>
      </c>
      <c r="G923" s="52">
        <v>207168</v>
      </c>
      <c r="H923" s="52" t="s">
        <v>1025</v>
      </c>
      <c r="I923" s="52" t="s">
        <v>1026</v>
      </c>
      <c r="J923" s="53" t="s">
        <v>1031</v>
      </c>
    </row>
    <row r="924" spans="1:10" x14ac:dyDescent="0.25">
      <c r="A924" s="52" t="s">
        <v>932</v>
      </c>
      <c r="B924" s="53">
        <v>45779</v>
      </c>
      <c r="C924" s="52" t="s">
        <v>1014</v>
      </c>
      <c r="D924" s="52" t="s">
        <v>1023</v>
      </c>
      <c r="E924" s="52">
        <v>248</v>
      </c>
      <c r="F924" s="52">
        <v>856</v>
      </c>
      <c r="G924" s="52">
        <v>212288</v>
      </c>
      <c r="H924" s="52" t="s">
        <v>1025</v>
      </c>
      <c r="I924" s="52" t="s">
        <v>1028</v>
      </c>
      <c r="J924" s="53">
        <v>45789</v>
      </c>
    </row>
    <row r="925" spans="1:10" x14ac:dyDescent="0.25">
      <c r="A925" s="52" t="s">
        <v>933</v>
      </c>
      <c r="B925" s="53">
        <v>45964</v>
      </c>
      <c r="C925" s="52" t="s">
        <v>1011</v>
      </c>
      <c r="D925" s="52" t="s">
        <v>1016</v>
      </c>
      <c r="E925" s="52">
        <v>223</v>
      </c>
      <c r="F925" s="52">
        <v>213</v>
      </c>
      <c r="G925" s="52">
        <v>47499</v>
      </c>
      <c r="H925" s="52" t="s">
        <v>1025</v>
      </c>
      <c r="I925" s="52" t="s">
        <v>1028</v>
      </c>
      <c r="J925" s="53">
        <v>45970</v>
      </c>
    </row>
    <row r="926" spans="1:10" x14ac:dyDescent="0.25">
      <c r="A926" s="52" t="s">
        <v>934</v>
      </c>
      <c r="B926" s="53">
        <v>45720</v>
      </c>
      <c r="C926" s="52" t="s">
        <v>1013</v>
      </c>
      <c r="D926" s="52" t="s">
        <v>1024</v>
      </c>
      <c r="E926" s="52">
        <v>344</v>
      </c>
      <c r="F926" s="52">
        <v>1097</v>
      </c>
      <c r="G926" s="52">
        <v>377368</v>
      </c>
      <c r="H926" s="52" t="s">
        <v>1030</v>
      </c>
      <c r="I926" s="52" t="s">
        <v>1029</v>
      </c>
      <c r="J926" s="53" t="s">
        <v>1031</v>
      </c>
    </row>
    <row r="927" spans="1:10" x14ac:dyDescent="0.25">
      <c r="A927" s="52" t="s">
        <v>935</v>
      </c>
      <c r="B927" s="53">
        <v>45896</v>
      </c>
      <c r="C927" s="52" t="s">
        <v>1013</v>
      </c>
      <c r="D927" s="52" t="s">
        <v>1024</v>
      </c>
      <c r="E927" s="52">
        <v>199</v>
      </c>
      <c r="F927" s="52">
        <v>1875</v>
      </c>
      <c r="G927" s="52">
        <v>373125</v>
      </c>
      <c r="H927" s="52" t="s">
        <v>1030</v>
      </c>
      <c r="I927" s="52" t="s">
        <v>1029</v>
      </c>
      <c r="J927" s="53" t="s">
        <v>1031</v>
      </c>
    </row>
    <row r="928" spans="1:10" x14ac:dyDescent="0.25">
      <c r="A928" s="52" t="s">
        <v>936</v>
      </c>
      <c r="B928" s="53">
        <v>45898</v>
      </c>
      <c r="C928" s="52" t="s">
        <v>1011</v>
      </c>
      <c r="D928" s="52" t="s">
        <v>1017</v>
      </c>
      <c r="E928" s="52">
        <v>255</v>
      </c>
      <c r="F928" s="52">
        <v>361</v>
      </c>
      <c r="G928" s="52">
        <v>92055</v>
      </c>
      <c r="H928" s="52" t="s">
        <v>1030</v>
      </c>
      <c r="I928" s="52" t="s">
        <v>1029</v>
      </c>
      <c r="J928" s="53" t="s">
        <v>1031</v>
      </c>
    </row>
    <row r="929" spans="1:10" x14ac:dyDescent="0.25">
      <c r="A929" s="52" t="s">
        <v>937</v>
      </c>
      <c r="B929" s="53">
        <v>45997</v>
      </c>
      <c r="C929" s="52" t="s">
        <v>1010</v>
      </c>
      <c r="D929" s="52" t="s">
        <v>1018</v>
      </c>
      <c r="E929" s="52">
        <v>474</v>
      </c>
      <c r="F929" s="52">
        <v>1860</v>
      </c>
      <c r="G929" s="52">
        <v>881640</v>
      </c>
      <c r="H929" s="52" t="s">
        <v>1030</v>
      </c>
      <c r="I929" s="52" t="s">
        <v>1026</v>
      </c>
      <c r="J929" s="53" t="s">
        <v>1031</v>
      </c>
    </row>
    <row r="930" spans="1:10" x14ac:dyDescent="0.25">
      <c r="A930" s="52" t="s">
        <v>938</v>
      </c>
      <c r="B930" s="53">
        <v>45761</v>
      </c>
      <c r="C930" s="52" t="s">
        <v>1014</v>
      </c>
      <c r="D930" s="52" t="s">
        <v>1022</v>
      </c>
      <c r="E930" s="52">
        <v>182</v>
      </c>
      <c r="F930" s="52">
        <v>1303</v>
      </c>
      <c r="G930" s="52">
        <v>237146</v>
      </c>
      <c r="H930" s="52" t="s">
        <v>1030</v>
      </c>
      <c r="I930" s="52" t="s">
        <v>1029</v>
      </c>
      <c r="J930" s="53" t="s">
        <v>1031</v>
      </c>
    </row>
    <row r="931" spans="1:10" x14ac:dyDescent="0.25">
      <c r="A931" s="52" t="s">
        <v>939</v>
      </c>
      <c r="B931" s="53">
        <v>45859</v>
      </c>
      <c r="C931" s="52" t="s">
        <v>1010</v>
      </c>
      <c r="D931" s="52" t="s">
        <v>1015</v>
      </c>
      <c r="E931" s="52">
        <v>219</v>
      </c>
      <c r="F931" s="52">
        <v>221</v>
      </c>
      <c r="G931" s="52">
        <v>48399</v>
      </c>
      <c r="H931" s="52" t="s">
        <v>1027</v>
      </c>
      <c r="I931" s="52" t="s">
        <v>1029</v>
      </c>
      <c r="J931" s="53" t="s">
        <v>1031</v>
      </c>
    </row>
    <row r="932" spans="1:10" x14ac:dyDescent="0.25">
      <c r="A932" s="52" t="s">
        <v>940</v>
      </c>
      <c r="B932" s="53">
        <v>45991</v>
      </c>
      <c r="C932" s="52" t="s">
        <v>1011</v>
      </c>
      <c r="D932" s="52" t="s">
        <v>1024</v>
      </c>
      <c r="E932" s="52">
        <v>209</v>
      </c>
      <c r="F932" s="52">
        <v>210</v>
      </c>
      <c r="G932" s="52">
        <v>43890</v>
      </c>
      <c r="H932" s="52" t="s">
        <v>1030</v>
      </c>
      <c r="I932" s="52" t="s">
        <v>1028</v>
      </c>
      <c r="J932" s="53">
        <v>45996</v>
      </c>
    </row>
    <row r="933" spans="1:10" x14ac:dyDescent="0.25">
      <c r="A933" s="52" t="s">
        <v>941</v>
      </c>
      <c r="B933" s="53">
        <v>46030</v>
      </c>
      <c r="C933" s="52" t="s">
        <v>1010</v>
      </c>
      <c r="D933" s="52" t="s">
        <v>1024</v>
      </c>
      <c r="E933" s="52">
        <v>277</v>
      </c>
      <c r="F933" s="52">
        <v>1340</v>
      </c>
      <c r="G933" s="52">
        <v>371180</v>
      </c>
      <c r="H933" s="52" t="s">
        <v>1030</v>
      </c>
      <c r="I933" s="52" t="s">
        <v>1026</v>
      </c>
      <c r="J933" s="53" t="s">
        <v>1031</v>
      </c>
    </row>
    <row r="934" spans="1:10" x14ac:dyDescent="0.25">
      <c r="A934" s="52" t="s">
        <v>942</v>
      </c>
      <c r="B934" s="53">
        <v>45904</v>
      </c>
      <c r="C934" s="52" t="s">
        <v>1013</v>
      </c>
      <c r="D934" s="52" t="s">
        <v>1017</v>
      </c>
      <c r="E934" s="52">
        <v>236</v>
      </c>
      <c r="F934" s="52">
        <v>111</v>
      </c>
      <c r="G934" s="52">
        <v>26196</v>
      </c>
      <c r="H934" s="52" t="s">
        <v>1025</v>
      </c>
      <c r="I934" s="52" t="s">
        <v>1026</v>
      </c>
      <c r="J934" s="53" t="s">
        <v>1031</v>
      </c>
    </row>
    <row r="935" spans="1:10" x14ac:dyDescent="0.25">
      <c r="A935" s="52" t="s">
        <v>943</v>
      </c>
      <c r="B935" s="53">
        <v>45912</v>
      </c>
      <c r="C935" s="52" t="s">
        <v>1011</v>
      </c>
      <c r="D935" s="52" t="s">
        <v>1015</v>
      </c>
      <c r="E935" s="52">
        <v>388</v>
      </c>
      <c r="F935" s="52">
        <v>771</v>
      </c>
      <c r="G935" s="52">
        <v>299148</v>
      </c>
      <c r="H935" s="52" t="s">
        <v>1025</v>
      </c>
      <c r="I935" s="52" t="s">
        <v>1029</v>
      </c>
      <c r="J935" s="53" t="s">
        <v>1031</v>
      </c>
    </row>
    <row r="936" spans="1:10" x14ac:dyDescent="0.25">
      <c r="A936" s="52" t="s">
        <v>944</v>
      </c>
      <c r="B936" s="53">
        <v>45969</v>
      </c>
      <c r="C936" s="52" t="s">
        <v>1010</v>
      </c>
      <c r="D936" s="52" t="s">
        <v>1018</v>
      </c>
      <c r="E936" s="52">
        <v>163</v>
      </c>
      <c r="F936" s="52">
        <v>1242</v>
      </c>
      <c r="G936" s="52">
        <v>202446</v>
      </c>
      <c r="H936" s="52" t="s">
        <v>1027</v>
      </c>
      <c r="I936" s="52" t="s">
        <v>1029</v>
      </c>
      <c r="J936" s="53" t="s">
        <v>1031</v>
      </c>
    </row>
    <row r="937" spans="1:10" x14ac:dyDescent="0.25">
      <c r="A937" s="52" t="s">
        <v>945</v>
      </c>
      <c r="B937" s="53">
        <v>45833</v>
      </c>
      <c r="C937" s="52" t="s">
        <v>1013</v>
      </c>
      <c r="D937" s="52" t="s">
        <v>1020</v>
      </c>
      <c r="E937" s="52">
        <v>178</v>
      </c>
      <c r="F937" s="52">
        <v>32</v>
      </c>
      <c r="G937" s="52">
        <v>5696</v>
      </c>
      <c r="H937" s="52" t="s">
        <v>1027</v>
      </c>
      <c r="I937" s="52" t="s">
        <v>1029</v>
      </c>
      <c r="J937" s="53" t="s">
        <v>1031</v>
      </c>
    </row>
    <row r="938" spans="1:10" x14ac:dyDescent="0.25">
      <c r="A938" s="52" t="s">
        <v>946</v>
      </c>
      <c r="B938" s="53">
        <v>45670</v>
      </c>
      <c r="C938" s="52" t="s">
        <v>1012</v>
      </c>
      <c r="D938" s="52" t="s">
        <v>1023</v>
      </c>
      <c r="E938" s="52">
        <v>191</v>
      </c>
      <c r="F938" s="52">
        <v>1609</v>
      </c>
      <c r="G938" s="52">
        <v>307319</v>
      </c>
      <c r="H938" s="52" t="s">
        <v>1027</v>
      </c>
      <c r="I938" s="52" t="s">
        <v>1029</v>
      </c>
      <c r="J938" s="53" t="s">
        <v>1031</v>
      </c>
    </row>
    <row r="939" spans="1:10" x14ac:dyDescent="0.25">
      <c r="A939" s="52" t="s">
        <v>947</v>
      </c>
      <c r="B939" s="53">
        <v>45979</v>
      </c>
      <c r="C939" s="52" t="s">
        <v>1010</v>
      </c>
      <c r="D939" s="52" t="s">
        <v>1018</v>
      </c>
      <c r="E939" s="52">
        <v>254</v>
      </c>
      <c r="F939" s="52">
        <v>610</v>
      </c>
      <c r="G939" s="52">
        <v>154940</v>
      </c>
      <c r="H939" s="52" t="s">
        <v>1025</v>
      </c>
      <c r="I939" s="52" t="s">
        <v>1028</v>
      </c>
      <c r="J939" s="53">
        <v>45994</v>
      </c>
    </row>
    <row r="940" spans="1:10" x14ac:dyDescent="0.25">
      <c r="A940" s="52" t="s">
        <v>948</v>
      </c>
      <c r="B940" s="53">
        <v>45789</v>
      </c>
      <c r="C940" s="52" t="s">
        <v>1013</v>
      </c>
      <c r="D940" s="52" t="s">
        <v>1015</v>
      </c>
      <c r="E940" s="52">
        <v>184</v>
      </c>
      <c r="F940" s="52">
        <v>1492</v>
      </c>
      <c r="G940" s="52">
        <v>274528</v>
      </c>
      <c r="H940" s="52" t="s">
        <v>1030</v>
      </c>
      <c r="I940" s="52" t="s">
        <v>1028</v>
      </c>
      <c r="J940" s="53">
        <v>45798</v>
      </c>
    </row>
    <row r="941" spans="1:10" x14ac:dyDescent="0.25">
      <c r="A941" s="52" t="s">
        <v>949</v>
      </c>
      <c r="B941" s="53">
        <v>45883</v>
      </c>
      <c r="C941" s="52" t="s">
        <v>1014</v>
      </c>
      <c r="D941" s="52" t="s">
        <v>1022</v>
      </c>
      <c r="E941" s="52">
        <v>198</v>
      </c>
      <c r="F941" s="52">
        <v>1178</v>
      </c>
      <c r="G941" s="52">
        <v>233244</v>
      </c>
      <c r="H941" s="52" t="s">
        <v>1025</v>
      </c>
      <c r="I941" s="52" t="s">
        <v>1029</v>
      </c>
      <c r="J941" s="53" t="s">
        <v>1031</v>
      </c>
    </row>
    <row r="942" spans="1:10" x14ac:dyDescent="0.25">
      <c r="A942" s="52" t="s">
        <v>950</v>
      </c>
      <c r="B942" s="53">
        <v>45743</v>
      </c>
      <c r="C942" s="52" t="s">
        <v>1013</v>
      </c>
      <c r="D942" s="52" t="s">
        <v>1023</v>
      </c>
      <c r="E942" s="52">
        <v>208</v>
      </c>
      <c r="F942" s="52">
        <v>112</v>
      </c>
      <c r="G942" s="52">
        <v>23296</v>
      </c>
      <c r="H942" s="52" t="s">
        <v>1027</v>
      </c>
      <c r="I942" s="52" t="s">
        <v>1029</v>
      </c>
      <c r="J942" s="53" t="s">
        <v>1031</v>
      </c>
    </row>
    <row r="943" spans="1:10" x14ac:dyDescent="0.25">
      <c r="A943" s="52" t="s">
        <v>951</v>
      </c>
      <c r="B943" s="53">
        <v>45728</v>
      </c>
      <c r="C943" s="52" t="s">
        <v>1011</v>
      </c>
      <c r="D943" s="52" t="s">
        <v>1016</v>
      </c>
      <c r="E943" s="52">
        <v>424</v>
      </c>
      <c r="F943" s="52">
        <v>1689</v>
      </c>
      <c r="G943" s="52">
        <v>716136</v>
      </c>
      <c r="H943" s="52" t="s">
        <v>1030</v>
      </c>
      <c r="I943" s="52" t="s">
        <v>1029</v>
      </c>
      <c r="J943" s="53" t="s">
        <v>1031</v>
      </c>
    </row>
    <row r="944" spans="1:10" x14ac:dyDescent="0.25">
      <c r="A944" s="52" t="s">
        <v>952</v>
      </c>
      <c r="B944" s="53">
        <v>45920</v>
      </c>
      <c r="C944" s="52" t="s">
        <v>1013</v>
      </c>
      <c r="D944" s="52" t="s">
        <v>1021</v>
      </c>
      <c r="E944" s="52">
        <v>137</v>
      </c>
      <c r="F944" s="52">
        <v>86</v>
      </c>
      <c r="G944" s="52">
        <v>11782</v>
      </c>
      <c r="H944" s="52" t="s">
        <v>1027</v>
      </c>
      <c r="I944" s="52" t="s">
        <v>1026</v>
      </c>
      <c r="J944" s="53" t="s">
        <v>1031</v>
      </c>
    </row>
    <row r="945" spans="1:10" x14ac:dyDescent="0.25">
      <c r="A945" s="52" t="s">
        <v>953</v>
      </c>
      <c r="B945" s="53">
        <v>45660</v>
      </c>
      <c r="C945" s="52" t="s">
        <v>1014</v>
      </c>
      <c r="D945" s="52" t="s">
        <v>1023</v>
      </c>
      <c r="E945" s="52">
        <v>108</v>
      </c>
      <c r="F945" s="52">
        <v>1124</v>
      </c>
      <c r="G945" s="52">
        <v>121392</v>
      </c>
      <c r="H945" s="52" t="s">
        <v>1027</v>
      </c>
      <c r="I945" s="52" t="s">
        <v>1026</v>
      </c>
      <c r="J945" s="53" t="s">
        <v>1031</v>
      </c>
    </row>
    <row r="946" spans="1:10" x14ac:dyDescent="0.25">
      <c r="A946" s="52" t="s">
        <v>954</v>
      </c>
      <c r="B946" s="53">
        <v>45740</v>
      </c>
      <c r="C946" s="52" t="s">
        <v>1013</v>
      </c>
      <c r="D946" s="52" t="s">
        <v>1018</v>
      </c>
      <c r="E946" s="52">
        <v>132</v>
      </c>
      <c r="F946" s="52">
        <v>1173</v>
      </c>
      <c r="G946" s="52">
        <v>154836</v>
      </c>
      <c r="H946" s="52" t="s">
        <v>1027</v>
      </c>
      <c r="I946" s="52" t="s">
        <v>1026</v>
      </c>
      <c r="J946" s="53" t="s">
        <v>1031</v>
      </c>
    </row>
    <row r="947" spans="1:10" x14ac:dyDescent="0.25">
      <c r="A947" s="52" t="s">
        <v>955</v>
      </c>
      <c r="B947" s="53">
        <v>45768</v>
      </c>
      <c r="C947" s="52" t="s">
        <v>1013</v>
      </c>
      <c r="D947" s="52" t="s">
        <v>1021</v>
      </c>
      <c r="E947" s="52">
        <v>369</v>
      </c>
      <c r="F947" s="52">
        <v>1299</v>
      </c>
      <c r="G947" s="52">
        <v>479331</v>
      </c>
      <c r="H947" s="52" t="s">
        <v>1025</v>
      </c>
      <c r="I947" s="52" t="s">
        <v>1028</v>
      </c>
      <c r="J947" s="53">
        <v>45773</v>
      </c>
    </row>
    <row r="948" spans="1:10" x14ac:dyDescent="0.25">
      <c r="A948" s="52" t="s">
        <v>956</v>
      </c>
      <c r="B948" s="53">
        <v>45824</v>
      </c>
      <c r="C948" s="52" t="s">
        <v>1010</v>
      </c>
      <c r="D948" s="52" t="s">
        <v>1020</v>
      </c>
      <c r="E948" s="52">
        <v>160</v>
      </c>
      <c r="F948" s="52">
        <v>651</v>
      </c>
      <c r="G948" s="52">
        <v>104160</v>
      </c>
      <c r="H948" s="52" t="s">
        <v>1027</v>
      </c>
      <c r="I948" s="52" t="s">
        <v>1026</v>
      </c>
      <c r="J948" s="53" t="s">
        <v>1031</v>
      </c>
    </row>
    <row r="949" spans="1:10" x14ac:dyDescent="0.25">
      <c r="A949" s="52" t="s">
        <v>957</v>
      </c>
      <c r="B949" s="53">
        <v>45927</v>
      </c>
      <c r="C949" s="52" t="s">
        <v>1011</v>
      </c>
      <c r="D949" s="52" t="s">
        <v>1016</v>
      </c>
      <c r="E949" s="52">
        <v>117</v>
      </c>
      <c r="F949" s="52">
        <v>84</v>
      </c>
      <c r="G949" s="52">
        <v>9828</v>
      </c>
      <c r="H949" s="52" t="s">
        <v>1030</v>
      </c>
      <c r="I949" s="52" t="s">
        <v>1028</v>
      </c>
      <c r="J949" s="53">
        <v>45941</v>
      </c>
    </row>
    <row r="950" spans="1:10" x14ac:dyDescent="0.25">
      <c r="A950" s="52" t="s">
        <v>958</v>
      </c>
      <c r="B950" s="53">
        <v>45749</v>
      </c>
      <c r="C950" s="52" t="s">
        <v>1013</v>
      </c>
      <c r="D950" s="52" t="s">
        <v>1019</v>
      </c>
      <c r="E950" s="52">
        <v>50</v>
      </c>
      <c r="F950" s="52">
        <v>1994</v>
      </c>
      <c r="G950" s="52">
        <v>99700</v>
      </c>
      <c r="H950" s="52" t="s">
        <v>1025</v>
      </c>
      <c r="I950" s="52" t="s">
        <v>1026</v>
      </c>
      <c r="J950" s="53" t="s">
        <v>1031</v>
      </c>
    </row>
    <row r="951" spans="1:10" x14ac:dyDescent="0.25">
      <c r="A951" s="52" t="s">
        <v>959</v>
      </c>
      <c r="B951" s="53">
        <v>45906</v>
      </c>
      <c r="C951" s="52" t="s">
        <v>1014</v>
      </c>
      <c r="D951" s="52" t="s">
        <v>1017</v>
      </c>
      <c r="E951" s="52">
        <v>385</v>
      </c>
      <c r="F951" s="52">
        <v>864</v>
      </c>
      <c r="G951" s="52">
        <v>332640</v>
      </c>
      <c r="H951" s="52" t="s">
        <v>1027</v>
      </c>
      <c r="I951" s="52" t="s">
        <v>1026</v>
      </c>
      <c r="J951" s="53" t="s">
        <v>1031</v>
      </c>
    </row>
    <row r="952" spans="1:10" x14ac:dyDescent="0.25">
      <c r="A952" s="52" t="s">
        <v>960</v>
      </c>
      <c r="B952" s="53">
        <v>46000</v>
      </c>
      <c r="C952" s="52" t="s">
        <v>1014</v>
      </c>
      <c r="D952" s="52" t="s">
        <v>1017</v>
      </c>
      <c r="E952" s="52">
        <v>248</v>
      </c>
      <c r="F952" s="52">
        <v>786</v>
      </c>
      <c r="G952" s="52">
        <v>194928</v>
      </c>
      <c r="H952" s="52" t="s">
        <v>1030</v>
      </c>
      <c r="I952" s="52" t="s">
        <v>1028</v>
      </c>
      <c r="J952" s="53">
        <v>46014</v>
      </c>
    </row>
    <row r="953" spans="1:10" x14ac:dyDescent="0.25">
      <c r="A953" s="52" t="s">
        <v>961</v>
      </c>
      <c r="B953" s="53">
        <v>45961</v>
      </c>
      <c r="C953" s="52" t="s">
        <v>1011</v>
      </c>
      <c r="D953" s="52" t="s">
        <v>1022</v>
      </c>
      <c r="E953" s="52">
        <v>326</v>
      </c>
      <c r="F953" s="52">
        <v>277</v>
      </c>
      <c r="G953" s="52">
        <v>90302</v>
      </c>
      <c r="H953" s="52" t="s">
        <v>1030</v>
      </c>
      <c r="I953" s="52" t="s">
        <v>1026</v>
      </c>
      <c r="J953" s="53" t="s">
        <v>1031</v>
      </c>
    </row>
    <row r="954" spans="1:10" x14ac:dyDescent="0.25">
      <c r="A954" s="52" t="s">
        <v>962</v>
      </c>
      <c r="B954" s="53">
        <v>45962</v>
      </c>
      <c r="C954" s="52" t="s">
        <v>1014</v>
      </c>
      <c r="D954" s="52" t="s">
        <v>1023</v>
      </c>
      <c r="E954" s="52">
        <v>428</v>
      </c>
      <c r="F954" s="52">
        <v>1131</v>
      </c>
      <c r="G954" s="52">
        <v>484068</v>
      </c>
      <c r="H954" s="52" t="s">
        <v>1027</v>
      </c>
      <c r="I954" s="52" t="s">
        <v>1029</v>
      </c>
      <c r="J954" s="53" t="s">
        <v>1031</v>
      </c>
    </row>
    <row r="955" spans="1:10" x14ac:dyDescent="0.25">
      <c r="A955" s="52" t="s">
        <v>963</v>
      </c>
      <c r="B955" s="53">
        <v>45781</v>
      </c>
      <c r="C955" s="52" t="s">
        <v>1011</v>
      </c>
      <c r="D955" s="52" t="s">
        <v>1023</v>
      </c>
      <c r="E955" s="52">
        <v>340</v>
      </c>
      <c r="F955" s="52">
        <v>1872</v>
      </c>
      <c r="G955" s="52">
        <v>636480</v>
      </c>
      <c r="H955" s="52" t="s">
        <v>1030</v>
      </c>
      <c r="I955" s="52" t="s">
        <v>1029</v>
      </c>
      <c r="J955" s="53" t="s">
        <v>1031</v>
      </c>
    </row>
    <row r="956" spans="1:10" x14ac:dyDescent="0.25">
      <c r="A956" s="52" t="s">
        <v>964</v>
      </c>
      <c r="B956" s="53">
        <v>45724</v>
      </c>
      <c r="C956" s="52" t="s">
        <v>1014</v>
      </c>
      <c r="D956" s="52" t="s">
        <v>1020</v>
      </c>
      <c r="E956" s="52">
        <v>363</v>
      </c>
      <c r="F956" s="52">
        <v>1426</v>
      </c>
      <c r="G956" s="52">
        <v>517638</v>
      </c>
      <c r="H956" s="52" t="s">
        <v>1025</v>
      </c>
      <c r="I956" s="52" t="s">
        <v>1029</v>
      </c>
      <c r="J956" s="53" t="s">
        <v>1031</v>
      </c>
    </row>
    <row r="957" spans="1:10" x14ac:dyDescent="0.25">
      <c r="A957" s="52" t="s">
        <v>965</v>
      </c>
      <c r="B957" s="53">
        <v>45880</v>
      </c>
      <c r="C957" s="52" t="s">
        <v>1011</v>
      </c>
      <c r="D957" s="52" t="s">
        <v>1024</v>
      </c>
      <c r="E957" s="52">
        <v>377</v>
      </c>
      <c r="F957" s="52">
        <v>1583</v>
      </c>
      <c r="G957" s="52">
        <v>596791</v>
      </c>
      <c r="H957" s="52" t="s">
        <v>1030</v>
      </c>
      <c r="I957" s="52" t="s">
        <v>1026</v>
      </c>
      <c r="J957" s="53" t="s">
        <v>1031</v>
      </c>
    </row>
    <row r="958" spans="1:10" x14ac:dyDescent="0.25">
      <c r="A958" s="52" t="s">
        <v>966</v>
      </c>
      <c r="B958" s="53">
        <v>45901</v>
      </c>
      <c r="C958" s="52" t="s">
        <v>1014</v>
      </c>
      <c r="D958" s="52" t="s">
        <v>1016</v>
      </c>
      <c r="E958" s="52">
        <v>119</v>
      </c>
      <c r="F958" s="52">
        <v>1284</v>
      </c>
      <c r="G958" s="52">
        <v>152796</v>
      </c>
      <c r="H958" s="52" t="s">
        <v>1027</v>
      </c>
      <c r="I958" s="52" t="s">
        <v>1029</v>
      </c>
      <c r="J958" s="53" t="s">
        <v>1031</v>
      </c>
    </row>
    <row r="959" spans="1:10" x14ac:dyDescent="0.25">
      <c r="A959" s="52" t="s">
        <v>967</v>
      </c>
      <c r="B959" s="53">
        <v>45735</v>
      </c>
      <c r="C959" s="52" t="s">
        <v>1013</v>
      </c>
      <c r="D959" s="52" t="s">
        <v>1017</v>
      </c>
      <c r="E959" s="52">
        <v>474</v>
      </c>
      <c r="F959" s="52">
        <v>513</v>
      </c>
      <c r="G959" s="52">
        <v>243162</v>
      </c>
      <c r="H959" s="52" t="s">
        <v>1030</v>
      </c>
      <c r="I959" s="52" t="s">
        <v>1026</v>
      </c>
      <c r="J959" s="53" t="s">
        <v>1031</v>
      </c>
    </row>
    <row r="960" spans="1:10" x14ac:dyDescent="0.25">
      <c r="A960" s="52" t="s">
        <v>968</v>
      </c>
      <c r="B960" s="53">
        <v>45808</v>
      </c>
      <c r="C960" s="52" t="s">
        <v>1013</v>
      </c>
      <c r="D960" s="52" t="s">
        <v>1022</v>
      </c>
      <c r="E960" s="52">
        <v>487</v>
      </c>
      <c r="F960" s="52">
        <v>337</v>
      </c>
      <c r="G960" s="52">
        <v>164119</v>
      </c>
      <c r="H960" s="52" t="s">
        <v>1027</v>
      </c>
      <c r="I960" s="52" t="s">
        <v>1028</v>
      </c>
      <c r="J960" s="53">
        <v>45817</v>
      </c>
    </row>
    <row r="961" spans="1:10" x14ac:dyDescent="0.25">
      <c r="A961" s="52" t="s">
        <v>969</v>
      </c>
      <c r="B961" s="53">
        <v>45778</v>
      </c>
      <c r="C961" s="52" t="s">
        <v>1012</v>
      </c>
      <c r="D961" s="52" t="s">
        <v>1024</v>
      </c>
      <c r="E961" s="52">
        <v>488</v>
      </c>
      <c r="F961" s="52">
        <v>677</v>
      </c>
      <c r="G961" s="52">
        <v>330376</v>
      </c>
      <c r="H961" s="52" t="s">
        <v>1025</v>
      </c>
      <c r="I961" s="52" t="s">
        <v>1028</v>
      </c>
      <c r="J961" s="53">
        <v>45786</v>
      </c>
    </row>
    <row r="962" spans="1:10" x14ac:dyDescent="0.25">
      <c r="A962" s="52" t="s">
        <v>970</v>
      </c>
      <c r="B962" s="53">
        <v>45696</v>
      </c>
      <c r="C962" s="52" t="s">
        <v>1010</v>
      </c>
      <c r="D962" s="52" t="s">
        <v>1019</v>
      </c>
      <c r="E962" s="52">
        <v>207</v>
      </c>
      <c r="F962" s="52">
        <v>1199</v>
      </c>
      <c r="G962" s="52">
        <v>248193</v>
      </c>
      <c r="H962" s="52" t="s">
        <v>1025</v>
      </c>
      <c r="I962" s="52" t="s">
        <v>1026</v>
      </c>
      <c r="J962" s="53" t="s">
        <v>1031</v>
      </c>
    </row>
    <row r="963" spans="1:10" x14ac:dyDescent="0.25">
      <c r="A963" s="52" t="s">
        <v>971</v>
      </c>
      <c r="B963" s="53">
        <v>45659</v>
      </c>
      <c r="C963" s="52" t="s">
        <v>1010</v>
      </c>
      <c r="D963" s="52" t="s">
        <v>1020</v>
      </c>
      <c r="E963" s="52">
        <v>25</v>
      </c>
      <c r="F963" s="52">
        <v>834</v>
      </c>
      <c r="G963" s="52">
        <v>20850</v>
      </c>
      <c r="H963" s="52" t="s">
        <v>1025</v>
      </c>
      <c r="I963" s="52" t="s">
        <v>1028</v>
      </c>
      <c r="J963" s="53">
        <v>45666</v>
      </c>
    </row>
    <row r="964" spans="1:10" x14ac:dyDescent="0.25">
      <c r="A964" s="52" t="s">
        <v>972</v>
      </c>
      <c r="B964" s="53">
        <v>45731</v>
      </c>
      <c r="C964" s="52" t="s">
        <v>1014</v>
      </c>
      <c r="D964" s="52" t="s">
        <v>1018</v>
      </c>
      <c r="E964" s="52">
        <v>234</v>
      </c>
      <c r="F964" s="52">
        <v>658</v>
      </c>
      <c r="G964" s="52">
        <v>153972</v>
      </c>
      <c r="H964" s="52" t="s">
        <v>1030</v>
      </c>
      <c r="I964" s="52" t="s">
        <v>1026</v>
      </c>
      <c r="J964" s="53" t="s">
        <v>1031</v>
      </c>
    </row>
    <row r="965" spans="1:10" x14ac:dyDescent="0.25">
      <c r="A965" s="52" t="s">
        <v>973</v>
      </c>
      <c r="B965" s="53">
        <v>45757</v>
      </c>
      <c r="C965" s="52" t="s">
        <v>1014</v>
      </c>
      <c r="D965" s="52" t="s">
        <v>1020</v>
      </c>
      <c r="E965" s="52">
        <v>89</v>
      </c>
      <c r="F965" s="52">
        <v>942</v>
      </c>
      <c r="G965" s="52">
        <v>83838</v>
      </c>
      <c r="H965" s="52" t="s">
        <v>1025</v>
      </c>
      <c r="I965" s="52" t="s">
        <v>1026</v>
      </c>
      <c r="J965" s="53" t="s">
        <v>1031</v>
      </c>
    </row>
    <row r="966" spans="1:10" x14ac:dyDescent="0.25">
      <c r="A966" s="52" t="s">
        <v>974</v>
      </c>
      <c r="B966" s="53">
        <v>45699</v>
      </c>
      <c r="C966" s="52" t="s">
        <v>1012</v>
      </c>
      <c r="D966" s="52" t="s">
        <v>1022</v>
      </c>
      <c r="E966" s="52">
        <v>297</v>
      </c>
      <c r="F966" s="52">
        <v>1186</v>
      </c>
      <c r="G966" s="52">
        <v>352242</v>
      </c>
      <c r="H966" s="52" t="s">
        <v>1025</v>
      </c>
      <c r="I966" s="52" t="s">
        <v>1026</v>
      </c>
      <c r="J966" s="53" t="s">
        <v>1031</v>
      </c>
    </row>
    <row r="967" spans="1:10" x14ac:dyDescent="0.25">
      <c r="A967" s="52" t="s">
        <v>975</v>
      </c>
      <c r="B967" s="53">
        <v>45817</v>
      </c>
      <c r="C967" s="52" t="s">
        <v>1011</v>
      </c>
      <c r="D967" s="52" t="s">
        <v>1018</v>
      </c>
      <c r="E967" s="52">
        <v>462</v>
      </c>
      <c r="F967" s="52">
        <v>1661</v>
      </c>
      <c r="G967" s="52">
        <v>767382</v>
      </c>
      <c r="H967" s="52" t="s">
        <v>1030</v>
      </c>
      <c r="I967" s="52" t="s">
        <v>1028</v>
      </c>
      <c r="J967" s="53">
        <v>45828</v>
      </c>
    </row>
    <row r="968" spans="1:10" x14ac:dyDescent="0.25">
      <c r="A968" s="52" t="s">
        <v>976</v>
      </c>
      <c r="B968" s="53">
        <v>45739</v>
      </c>
      <c r="C968" s="52" t="s">
        <v>1013</v>
      </c>
      <c r="D968" s="52" t="s">
        <v>1019</v>
      </c>
      <c r="E968" s="52">
        <v>210</v>
      </c>
      <c r="F968" s="52">
        <v>1177</v>
      </c>
      <c r="G968" s="52">
        <v>247170</v>
      </c>
      <c r="H968" s="52" t="s">
        <v>1030</v>
      </c>
      <c r="I968" s="52" t="s">
        <v>1029</v>
      </c>
      <c r="J968" s="53" t="s">
        <v>1031</v>
      </c>
    </row>
    <row r="969" spans="1:10" x14ac:dyDescent="0.25">
      <c r="A969" s="52" t="s">
        <v>977</v>
      </c>
      <c r="B969" s="53">
        <v>45876</v>
      </c>
      <c r="C969" s="52" t="s">
        <v>1010</v>
      </c>
      <c r="D969" s="52" t="s">
        <v>1016</v>
      </c>
      <c r="E969" s="52">
        <v>158</v>
      </c>
      <c r="F969" s="52">
        <v>1447</v>
      </c>
      <c r="G969" s="52">
        <v>228626</v>
      </c>
      <c r="H969" s="52" t="s">
        <v>1027</v>
      </c>
      <c r="I969" s="52" t="s">
        <v>1029</v>
      </c>
      <c r="J969" s="53" t="s">
        <v>1031</v>
      </c>
    </row>
    <row r="970" spans="1:10" x14ac:dyDescent="0.25">
      <c r="A970" s="52" t="s">
        <v>978</v>
      </c>
      <c r="B970" s="53">
        <v>45810</v>
      </c>
      <c r="C970" s="52" t="s">
        <v>1010</v>
      </c>
      <c r="D970" s="52" t="s">
        <v>1023</v>
      </c>
      <c r="E970" s="52">
        <v>70</v>
      </c>
      <c r="F970" s="52">
        <v>168</v>
      </c>
      <c r="G970" s="52">
        <v>11760</v>
      </c>
      <c r="H970" s="52" t="s">
        <v>1030</v>
      </c>
      <c r="I970" s="52" t="s">
        <v>1028</v>
      </c>
      <c r="J970" s="53">
        <v>45821</v>
      </c>
    </row>
    <row r="971" spans="1:10" x14ac:dyDescent="0.25">
      <c r="A971" s="52" t="s">
        <v>979</v>
      </c>
      <c r="B971" s="53">
        <v>45810</v>
      </c>
      <c r="C971" s="52" t="s">
        <v>1012</v>
      </c>
      <c r="D971" s="52" t="s">
        <v>1021</v>
      </c>
      <c r="E971" s="52">
        <v>286</v>
      </c>
      <c r="F971" s="52">
        <v>1640</v>
      </c>
      <c r="G971" s="52">
        <v>469040</v>
      </c>
      <c r="H971" s="52" t="s">
        <v>1030</v>
      </c>
      <c r="I971" s="52" t="s">
        <v>1026</v>
      </c>
      <c r="J971" s="53" t="s">
        <v>1031</v>
      </c>
    </row>
    <row r="972" spans="1:10" x14ac:dyDescent="0.25">
      <c r="A972" s="52" t="s">
        <v>980</v>
      </c>
      <c r="B972" s="53">
        <v>45915</v>
      </c>
      <c r="C972" s="52" t="s">
        <v>1012</v>
      </c>
      <c r="D972" s="52" t="s">
        <v>1023</v>
      </c>
      <c r="E972" s="52">
        <v>88</v>
      </c>
      <c r="F972" s="52">
        <v>1408</v>
      </c>
      <c r="G972" s="52">
        <v>123904</v>
      </c>
      <c r="H972" s="52" t="s">
        <v>1027</v>
      </c>
      <c r="I972" s="52" t="s">
        <v>1028</v>
      </c>
      <c r="J972" s="53">
        <v>45925</v>
      </c>
    </row>
    <row r="973" spans="1:10" x14ac:dyDescent="0.25">
      <c r="A973" s="52" t="s">
        <v>981</v>
      </c>
      <c r="B973" s="53">
        <v>45727</v>
      </c>
      <c r="C973" s="52" t="s">
        <v>1013</v>
      </c>
      <c r="D973" s="52" t="s">
        <v>1019</v>
      </c>
      <c r="E973" s="52">
        <v>388</v>
      </c>
      <c r="F973" s="52">
        <v>837</v>
      </c>
      <c r="G973" s="52">
        <v>324756</v>
      </c>
      <c r="H973" s="52" t="s">
        <v>1027</v>
      </c>
      <c r="I973" s="52" t="s">
        <v>1026</v>
      </c>
      <c r="J973" s="53" t="s">
        <v>1031</v>
      </c>
    </row>
    <row r="974" spans="1:10" x14ac:dyDescent="0.25">
      <c r="A974" s="52" t="s">
        <v>982</v>
      </c>
      <c r="B974" s="53">
        <v>46039</v>
      </c>
      <c r="C974" s="52" t="s">
        <v>1014</v>
      </c>
      <c r="D974" s="52" t="s">
        <v>1022</v>
      </c>
      <c r="E974" s="52">
        <v>314</v>
      </c>
      <c r="F974" s="52">
        <v>373</v>
      </c>
      <c r="G974" s="52">
        <v>117122</v>
      </c>
      <c r="H974" s="52" t="s">
        <v>1027</v>
      </c>
      <c r="I974" s="52" t="s">
        <v>1028</v>
      </c>
      <c r="J974" s="53">
        <v>46048</v>
      </c>
    </row>
    <row r="975" spans="1:10" x14ac:dyDescent="0.25">
      <c r="A975" s="52" t="s">
        <v>983</v>
      </c>
      <c r="B975" s="53">
        <v>45956</v>
      </c>
      <c r="C975" s="52" t="s">
        <v>1011</v>
      </c>
      <c r="D975" s="52" t="s">
        <v>1023</v>
      </c>
      <c r="E975" s="52">
        <v>266</v>
      </c>
      <c r="F975" s="52">
        <v>1569</v>
      </c>
      <c r="G975" s="52">
        <v>417354</v>
      </c>
      <c r="H975" s="52" t="s">
        <v>1027</v>
      </c>
      <c r="I975" s="52" t="s">
        <v>1028</v>
      </c>
      <c r="J975" s="53">
        <v>45961</v>
      </c>
    </row>
    <row r="976" spans="1:10" x14ac:dyDescent="0.25">
      <c r="A976" s="52" t="s">
        <v>984</v>
      </c>
      <c r="B976" s="53">
        <v>45740</v>
      </c>
      <c r="C976" s="52" t="s">
        <v>1010</v>
      </c>
      <c r="D976" s="52" t="s">
        <v>1023</v>
      </c>
      <c r="E976" s="52">
        <v>138</v>
      </c>
      <c r="F976" s="52">
        <v>588</v>
      </c>
      <c r="G976" s="52">
        <v>81144</v>
      </c>
      <c r="H976" s="52" t="s">
        <v>1025</v>
      </c>
      <c r="I976" s="52" t="s">
        <v>1028</v>
      </c>
      <c r="J976" s="53">
        <v>45747</v>
      </c>
    </row>
    <row r="977" spans="1:10" x14ac:dyDescent="0.25">
      <c r="A977" s="52" t="s">
        <v>985</v>
      </c>
      <c r="B977" s="53">
        <v>45994</v>
      </c>
      <c r="C977" s="52" t="s">
        <v>1013</v>
      </c>
      <c r="D977" s="52" t="s">
        <v>1017</v>
      </c>
      <c r="E977" s="52">
        <v>285</v>
      </c>
      <c r="F977" s="52">
        <v>1435</v>
      </c>
      <c r="G977" s="52">
        <v>408975</v>
      </c>
      <c r="H977" s="52" t="s">
        <v>1027</v>
      </c>
      <c r="I977" s="52" t="s">
        <v>1026</v>
      </c>
      <c r="J977" s="53" t="s">
        <v>1031</v>
      </c>
    </row>
    <row r="978" spans="1:10" x14ac:dyDescent="0.25">
      <c r="A978" s="52" t="s">
        <v>986</v>
      </c>
      <c r="B978" s="53">
        <v>45762</v>
      </c>
      <c r="C978" s="52" t="s">
        <v>1014</v>
      </c>
      <c r="D978" s="52" t="s">
        <v>1016</v>
      </c>
      <c r="E978" s="52">
        <v>229</v>
      </c>
      <c r="F978" s="52">
        <v>1575</v>
      </c>
      <c r="G978" s="52">
        <v>360675</v>
      </c>
      <c r="H978" s="52" t="s">
        <v>1030</v>
      </c>
      <c r="I978" s="52" t="s">
        <v>1026</v>
      </c>
      <c r="J978" s="53" t="s">
        <v>1031</v>
      </c>
    </row>
    <row r="979" spans="1:10" x14ac:dyDescent="0.25">
      <c r="A979" s="52" t="s">
        <v>987</v>
      </c>
      <c r="B979" s="53">
        <v>46045</v>
      </c>
      <c r="C979" s="52" t="s">
        <v>1011</v>
      </c>
      <c r="D979" s="52" t="s">
        <v>1015</v>
      </c>
      <c r="E979" s="52">
        <v>286</v>
      </c>
      <c r="F979" s="52">
        <v>444</v>
      </c>
      <c r="G979" s="52">
        <v>126984</v>
      </c>
      <c r="H979" s="52" t="s">
        <v>1025</v>
      </c>
      <c r="I979" s="52" t="s">
        <v>1028</v>
      </c>
      <c r="J979" s="53">
        <v>46057</v>
      </c>
    </row>
    <row r="980" spans="1:10" x14ac:dyDescent="0.25">
      <c r="A980" s="52" t="s">
        <v>988</v>
      </c>
      <c r="B980" s="53">
        <v>45685</v>
      </c>
      <c r="C980" s="52" t="s">
        <v>1011</v>
      </c>
      <c r="D980" s="52" t="s">
        <v>1022</v>
      </c>
      <c r="E980" s="52">
        <v>284</v>
      </c>
      <c r="F980" s="52">
        <v>209</v>
      </c>
      <c r="G980" s="52">
        <v>59356</v>
      </c>
      <c r="H980" s="52" t="s">
        <v>1030</v>
      </c>
      <c r="I980" s="52" t="s">
        <v>1026</v>
      </c>
      <c r="J980" s="53" t="s">
        <v>1031</v>
      </c>
    </row>
    <row r="981" spans="1:10" x14ac:dyDescent="0.25">
      <c r="A981" s="52" t="s">
        <v>989</v>
      </c>
      <c r="B981" s="53">
        <v>45996</v>
      </c>
      <c r="C981" s="52" t="s">
        <v>1010</v>
      </c>
      <c r="D981" s="52" t="s">
        <v>1017</v>
      </c>
      <c r="E981" s="52">
        <v>277</v>
      </c>
      <c r="F981" s="52">
        <v>1113</v>
      </c>
      <c r="G981" s="52">
        <v>308301</v>
      </c>
      <c r="H981" s="52" t="s">
        <v>1025</v>
      </c>
      <c r="I981" s="52" t="s">
        <v>1026</v>
      </c>
      <c r="J981" s="53" t="s">
        <v>1031</v>
      </c>
    </row>
    <row r="982" spans="1:10" x14ac:dyDescent="0.25">
      <c r="A982" s="52" t="s">
        <v>990</v>
      </c>
      <c r="B982" s="53">
        <v>45785</v>
      </c>
      <c r="C982" s="52" t="s">
        <v>1014</v>
      </c>
      <c r="D982" s="52" t="s">
        <v>1022</v>
      </c>
      <c r="E982" s="52">
        <v>284</v>
      </c>
      <c r="F982" s="52">
        <v>1726</v>
      </c>
      <c r="G982" s="52">
        <v>490184</v>
      </c>
      <c r="H982" s="52" t="s">
        <v>1025</v>
      </c>
      <c r="I982" s="52" t="s">
        <v>1029</v>
      </c>
      <c r="J982" s="53" t="s">
        <v>1031</v>
      </c>
    </row>
    <row r="983" spans="1:10" x14ac:dyDescent="0.25">
      <c r="A983" s="52" t="s">
        <v>991</v>
      </c>
      <c r="B983" s="53">
        <v>45833</v>
      </c>
      <c r="C983" s="52" t="s">
        <v>1014</v>
      </c>
      <c r="D983" s="52" t="s">
        <v>1024</v>
      </c>
      <c r="E983" s="52">
        <v>293</v>
      </c>
      <c r="F983" s="52">
        <v>1757</v>
      </c>
      <c r="G983" s="52">
        <v>514801</v>
      </c>
      <c r="H983" s="52" t="s">
        <v>1027</v>
      </c>
      <c r="I983" s="52" t="s">
        <v>1029</v>
      </c>
      <c r="J983" s="53" t="s">
        <v>1031</v>
      </c>
    </row>
    <row r="984" spans="1:10" x14ac:dyDescent="0.25">
      <c r="A984" s="52" t="s">
        <v>992</v>
      </c>
      <c r="B984" s="53">
        <v>45945</v>
      </c>
      <c r="C984" s="52" t="s">
        <v>1010</v>
      </c>
      <c r="D984" s="52" t="s">
        <v>1021</v>
      </c>
      <c r="E984" s="52">
        <v>5</v>
      </c>
      <c r="F984" s="52">
        <v>1631</v>
      </c>
      <c r="G984" s="52">
        <v>8155</v>
      </c>
      <c r="H984" s="52" t="s">
        <v>1027</v>
      </c>
      <c r="I984" s="52" t="s">
        <v>1026</v>
      </c>
      <c r="J984" s="53" t="s">
        <v>1031</v>
      </c>
    </row>
    <row r="985" spans="1:10" x14ac:dyDescent="0.25">
      <c r="A985" s="52" t="s">
        <v>993</v>
      </c>
      <c r="B985" s="53">
        <v>45970</v>
      </c>
      <c r="C985" s="52" t="s">
        <v>1011</v>
      </c>
      <c r="D985" s="52" t="s">
        <v>1019</v>
      </c>
      <c r="E985" s="52">
        <v>368</v>
      </c>
      <c r="F985" s="52">
        <v>139</v>
      </c>
      <c r="G985" s="52">
        <v>51152</v>
      </c>
      <c r="H985" s="52" t="s">
        <v>1030</v>
      </c>
      <c r="I985" s="52" t="s">
        <v>1026</v>
      </c>
      <c r="J985" s="53" t="s">
        <v>1031</v>
      </c>
    </row>
    <row r="986" spans="1:10" x14ac:dyDescent="0.25">
      <c r="A986" s="52" t="s">
        <v>994</v>
      </c>
      <c r="B986" s="53">
        <v>45967</v>
      </c>
      <c r="C986" s="52" t="s">
        <v>1014</v>
      </c>
      <c r="D986" s="52" t="s">
        <v>1020</v>
      </c>
      <c r="E986" s="52">
        <v>48</v>
      </c>
      <c r="F986" s="52">
        <v>1034</v>
      </c>
      <c r="G986" s="52">
        <v>49632</v>
      </c>
      <c r="H986" s="52" t="s">
        <v>1030</v>
      </c>
      <c r="I986" s="52" t="s">
        <v>1028</v>
      </c>
      <c r="J986" s="53">
        <v>45973</v>
      </c>
    </row>
    <row r="987" spans="1:10" x14ac:dyDescent="0.25">
      <c r="A987" s="52" t="s">
        <v>995</v>
      </c>
      <c r="B987" s="53">
        <v>46024</v>
      </c>
      <c r="C987" s="52" t="s">
        <v>1014</v>
      </c>
      <c r="D987" s="52" t="s">
        <v>1017</v>
      </c>
      <c r="E987" s="52">
        <v>242</v>
      </c>
      <c r="F987" s="52">
        <v>1240</v>
      </c>
      <c r="G987" s="52">
        <v>300080</v>
      </c>
      <c r="H987" s="52" t="s">
        <v>1030</v>
      </c>
      <c r="I987" s="52" t="s">
        <v>1029</v>
      </c>
      <c r="J987" s="53" t="s">
        <v>1031</v>
      </c>
    </row>
    <row r="988" spans="1:10" x14ac:dyDescent="0.25">
      <c r="A988" s="52" t="s">
        <v>996</v>
      </c>
      <c r="B988" s="53">
        <v>45951</v>
      </c>
      <c r="C988" s="52" t="s">
        <v>1011</v>
      </c>
      <c r="D988" s="52" t="s">
        <v>1016</v>
      </c>
      <c r="E988" s="52">
        <v>165</v>
      </c>
      <c r="F988" s="52">
        <v>648</v>
      </c>
      <c r="G988" s="52">
        <v>106920</v>
      </c>
      <c r="H988" s="52" t="s">
        <v>1030</v>
      </c>
      <c r="I988" s="52" t="s">
        <v>1026</v>
      </c>
      <c r="J988" s="53" t="s">
        <v>1031</v>
      </c>
    </row>
    <row r="989" spans="1:10" x14ac:dyDescent="0.25">
      <c r="A989" s="52" t="s">
        <v>997</v>
      </c>
      <c r="B989" s="53">
        <v>45871</v>
      </c>
      <c r="C989" s="52" t="s">
        <v>1012</v>
      </c>
      <c r="D989" s="52" t="s">
        <v>1015</v>
      </c>
      <c r="E989" s="52">
        <v>107</v>
      </c>
      <c r="F989" s="52">
        <v>152</v>
      </c>
      <c r="G989" s="52">
        <v>16264</v>
      </c>
      <c r="H989" s="52" t="s">
        <v>1027</v>
      </c>
      <c r="I989" s="52" t="s">
        <v>1028</v>
      </c>
      <c r="J989" s="53">
        <v>45879</v>
      </c>
    </row>
    <row r="990" spans="1:10" x14ac:dyDescent="0.25">
      <c r="A990" s="52" t="s">
        <v>998</v>
      </c>
      <c r="B990" s="53">
        <v>45686</v>
      </c>
      <c r="C990" s="52" t="s">
        <v>1012</v>
      </c>
      <c r="D990" s="52" t="s">
        <v>1015</v>
      </c>
      <c r="E990" s="52">
        <v>308</v>
      </c>
      <c r="F990" s="52">
        <v>779</v>
      </c>
      <c r="G990" s="52">
        <v>239932</v>
      </c>
      <c r="H990" s="52" t="s">
        <v>1030</v>
      </c>
      <c r="I990" s="52" t="s">
        <v>1026</v>
      </c>
      <c r="J990" s="53" t="s">
        <v>1031</v>
      </c>
    </row>
    <row r="991" spans="1:10" x14ac:dyDescent="0.25">
      <c r="A991" s="52" t="s">
        <v>999</v>
      </c>
      <c r="B991" s="53">
        <v>45729</v>
      </c>
      <c r="C991" s="52" t="s">
        <v>1010</v>
      </c>
      <c r="D991" s="52" t="s">
        <v>1018</v>
      </c>
      <c r="E991" s="52">
        <v>290</v>
      </c>
      <c r="F991" s="52">
        <v>631</v>
      </c>
      <c r="G991" s="52">
        <v>182990</v>
      </c>
      <c r="H991" s="52" t="s">
        <v>1030</v>
      </c>
      <c r="I991" s="52" t="s">
        <v>1028</v>
      </c>
      <c r="J991" s="53">
        <v>45734</v>
      </c>
    </row>
    <row r="992" spans="1:10" x14ac:dyDescent="0.25">
      <c r="A992" s="52" t="s">
        <v>1000</v>
      </c>
      <c r="B992" s="53">
        <v>45732</v>
      </c>
      <c r="C992" s="52" t="s">
        <v>1010</v>
      </c>
      <c r="D992" s="52" t="s">
        <v>1017</v>
      </c>
      <c r="E992" s="52">
        <v>191</v>
      </c>
      <c r="F992" s="52">
        <v>1096</v>
      </c>
      <c r="G992" s="52">
        <v>209336</v>
      </c>
      <c r="H992" s="52" t="s">
        <v>1027</v>
      </c>
      <c r="I992" s="52" t="s">
        <v>1028</v>
      </c>
      <c r="J992" s="53">
        <v>45746</v>
      </c>
    </row>
    <row r="993" spans="1:10" x14ac:dyDescent="0.25">
      <c r="A993" s="52" t="s">
        <v>1001</v>
      </c>
      <c r="B993" s="53">
        <v>45896</v>
      </c>
      <c r="C993" s="52" t="s">
        <v>1010</v>
      </c>
      <c r="D993" s="52" t="s">
        <v>1023</v>
      </c>
      <c r="E993" s="52">
        <v>464</v>
      </c>
      <c r="F993" s="52">
        <v>1820</v>
      </c>
      <c r="G993" s="52">
        <v>844480</v>
      </c>
      <c r="H993" s="52" t="s">
        <v>1025</v>
      </c>
      <c r="I993" s="52" t="s">
        <v>1028</v>
      </c>
      <c r="J993" s="53">
        <v>45903</v>
      </c>
    </row>
    <row r="994" spans="1:10" x14ac:dyDescent="0.25">
      <c r="A994" s="52" t="s">
        <v>1002</v>
      </c>
      <c r="B994" s="53">
        <v>45915</v>
      </c>
      <c r="C994" s="52" t="s">
        <v>1014</v>
      </c>
      <c r="D994" s="52" t="s">
        <v>1017</v>
      </c>
      <c r="E994" s="52">
        <v>396</v>
      </c>
      <c r="F994" s="52">
        <v>1409</v>
      </c>
      <c r="G994" s="52">
        <v>557964</v>
      </c>
      <c r="H994" s="52" t="s">
        <v>1027</v>
      </c>
      <c r="I994" s="52" t="s">
        <v>1028</v>
      </c>
      <c r="J994" s="53">
        <v>45929</v>
      </c>
    </row>
    <row r="995" spans="1:10" x14ac:dyDescent="0.25">
      <c r="A995" s="52" t="s">
        <v>1003</v>
      </c>
      <c r="B995" s="53">
        <v>45838</v>
      </c>
      <c r="C995" s="52" t="s">
        <v>1013</v>
      </c>
      <c r="D995" s="52" t="s">
        <v>1015</v>
      </c>
      <c r="E995" s="52">
        <v>426</v>
      </c>
      <c r="F995" s="52">
        <v>1064</v>
      </c>
      <c r="G995" s="52">
        <v>453264</v>
      </c>
      <c r="H995" s="52" t="s">
        <v>1030</v>
      </c>
      <c r="I995" s="52" t="s">
        <v>1026</v>
      </c>
      <c r="J995" s="53" t="s">
        <v>1031</v>
      </c>
    </row>
    <row r="996" spans="1:10" x14ac:dyDescent="0.25">
      <c r="A996" s="52" t="s">
        <v>1004</v>
      </c>
      <c r="B996" s="53">
        <v>45674</v>
      </c>
      <c r="C996" s="52" t="s">
        <v>1011</v>
      </c>
      <c r="D996" s="52" t="s">
        <v>1016</v>
      </c>
      <c r="E996" s="52">
        <v>225</v>
      </c>
      <c r="F996" s="52">
        <v>376</v>
      </c>
      <c r="G996" s="52">
        <v>84600</v>
      </c>
      <c r="H996" s="52" t="s">
        <v>1030</v>
      </c>
      <c r="I996" s="52" t="s">
        <v>1029</v>
      </c>
      <c r="J996" s="53" t="s">
        <v>1031</v>
      </c>
    </row>
    <row r="997" spans="1:10" x14ac:dyDescent="0.25">
      <c r="A997" s="52" t="s">
        <v>1005</v>
      </c>
      <c r="B997" s="53">
        <v>45776</v>
      </c>
      <c r="C997" s="52" t="s">
        <v>1013</v>
      </c>
      <c r="D997" s="52" t="s">
        <v>1024</v>
      </c>
      <c r="E997" s="52">
        <v>296</v>
      </c>
      <c r="F997" s="52">
        <v>263</v>
      </c>
      <c r="G997" s="52">
        <v>77848</v>
      </c>
      <c r="H997" s="52" t="s">
        <v>1030</v>
      </c>
      <c r="I997" s="52" t="s">
        <v>1026</v>
      </c>
      <c r="J997" s="53" t="s">
        <v>1031</v>
      </c>
    </row>
    <row r="998" spans="1:10" x14ac:dyDescent="0.25">
      <c r="A998" s="52" t="s">
        <v>1006</v>
      </c>
      <c r="B998" s="53">
        <v>45941</v>
      </c>
      <c r="C998" s="52" t="s">
        <v>1010</v>
      </c>
      <c r="D998" s="52" t="s">
        <v>1024</v>
      </c>
      <c r="E998" s="52">
        <v>16</v>
      </c>
      <c r="F998" s="52">
        <v>802</v>
      </c>
      <c r="G998" s="52">
        <v>12832</v>
      </c>
      <c r="H998" s="52" t="s">
        <v>1025</v>
      </c>
      <c r="I998" s="52" t="s">
        <v>1029</v>
      </c>
      <c r="J998" s="53" t="s">
        <v>1031</v>
      </c>
    </row>
    <row r="999" spans="1:10" x14ac:dyDescent="0.25">
      <c r="A999" s="52" t="s">
        <v>1007</v>
      </c>
      <c r="B999" s="53">
        <v>45700</v>
      </c>
      <c r="C999" s="52" t="s">
        <v>1012</v>
      </c>
      <c r="D999" s="52" t="s">
        <v>1021</v>
      </c>
      <c r="E999" s="52">
        <v>445</v>
      </c>
      <c r="F999" s="52">
        <v>1795</v>
      </c>
      <c r="G999" s="52">
        <v>798775</v>
      </c>
      <c r="H999" s="52" t="s">
        <v>1030</v>
      </c>
      <c r="I999" s="52" t="s">
        <v>1029</v>
      </c>
      <c r="J999" s="53" t="s">
        <v>1031</v>
      </c>
    </row>
    <row r="1000" spans="1:10" x14ac:dyDescent="0.25">
      <c r="A1000" s="52" t="s">
        <v>1008</v>
      </c>
      <c r="B1000" s="53">
        <v>45935</v>
      </c>
      <c r="C1000" s="52" t="s">
        <v>1010</v>
      </c>
      <c r="D1000" s="52" t="s">
        <v>1020</v>
      </c>
      <c r="E1000" s="52">
        <v>394</v>
      </c>
      <c r="F1000" s="52">
        <v>1799</v>
      </c>
      <c r="G1000" s="52">
        <v>708806</v>
      </c>
      <c r="H1000" s="52" t="s">
        <v>1025</v>
      </c>
      <c r="I1000" s="52" t="s">
        <v>1028</v>
      </c>
      <c r="J1000" s="53">
        <v>45946</v>
      </c>
    </row>
    <row r="1001" spans="1:10" x14ac:dyDescent="0.25">
      <c r="A1001" s="52" t="s">
        <v>1009</v>
      </c>
      <c r="B1001" s="53">
        <v>45785</v>
      </c>
      <c r="C1001" s="52" t="s">
        <v>1014</v>
      </c>
      <c r="D1001" s="52" t="s">
        <v>1022</v>
      </c>
      <c r="E1001" s="52">
        <v>86</v>
      </c>
      <c r="F1001" s="52">
        <v>918</v>
      </c>
      <c r="G1001" s="52">
        <v>78948</v>
      </c>
      <c r="H1001" s="52" t="s">
        <v>1027</v>
      </c>
      <c r="I1001" s="52" t="s">
        <v>1029</v>
      </c>
      <c r="J1001" s="53" t="s">
        <v>1031</v>
      </c>
    </row>
  </sheetData>
  <phoneticPr fontId="2" type="noConversion"/>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Logistics_Dashboard</vt:lpstr>
      <vt:lpstr>Analysis</vt:lpstr>
      <vt:lpstr>Cleaned_Data</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alı</dc:creator>
  <cp:lastModifiedBy>hassan alı</cp:lastModifiedBy>
  <dcterms:created xsi:type="dcterms:W3CDTF">2026-01-27T14:37:15Z</dcterms:created>
  <dcterms:modified xsi:type="dcterms:W3CDTF">2026-01-28T17:18:29Z</dcterms:modified>
</cp:coreProperties>
</file>